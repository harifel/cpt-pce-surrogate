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ri1996\Documents\GitHub\cpt-pce-surrogate\data\01_sampling plan\"/>
    </mc:Choice>
  </mc:AlternateContent>
  <xr:revisionPtr revIDLastSave="0" documentId="13_ncr:1_{8CB38A2F-012C-4D51-9C8E-B35DCD88132F}" xr6:coauthVersionLast="47" xr6:coauthVersionMax="47" xr10:uidLastSave="{00000000-0000-0000-0000-000000000000}"/>
  <bookViews>
    <workbookView xWindow="-28920" yWindow="12525" windowWidth="29040" windowHeight="15840" tabRatio="662" xr2:uid="{00000000-000D-0000-FFFF-FFFF00000000}"/>
  </bookViews>
  <sheets>
    <sheet name="input_CPT3" sheetId="310" r:id="rId1"/>
  </sheets>
  <externalReferences>
    <externalReference r:id="rId2"/>
    <externalReference r:id="rId3"/>
    <externalReference r:id="rId4"/>
    <externalReference r:id="rId5"/>
  </externalReferences>
  <definedNames>
    <definedName name="ApplyNAFa">[1]Raw!$B$13</definedName>
    <definedName name="ApplyNAFb">[1]Raw!$C$13</definedName>
    <definedName name="PWPNeg">[1]Raw!$L$12</definedName>
    <definedName name="RdDt2">[2]RD!$A$7:$BC$199</definedName>
    <definedName name="Shear1">"Chart 5"</definedName>
    <definedName name="shift">[3]Data_Shifted!$I$1</definedName>
    <definedName name="SQ">[4]pad!$Q$9</definedName>
    <definedName name="TruncLimit">[1]Raw!$AD$18</definedName>
    <definedName name="valuevx">42.314159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310" l="1"/>
  <c r="F35" i="310" s="1"/>
  <c r="F37" i="310"/>
  <c r="F36" i="310"/>
  <c r="F32" i="310"/>
  <c r="F30" i="310"/>
  <c r="F29" i="310"/>
  <c r="F28" i="310"/>
  <c r="F26" i="310"/>
  <c r="F25" i="310"/>
  <c r="F24" i="310"/>
  <c r="F23" i="310"/>
  <c r="F22" i="310" s="1"/>
  <c r="F21" i="310"/>
  <c r="F20" i="310"/>
  <c r="F16" i="310"/>
  <c r="F18" i="310" s="1"/>
  <c r="F12" i="310"/>
  <c r="F33" i="310" s="1"/>
  <c r="F31" i="310" l="1"/>
  <c r="F27" i="310"/>
  <c r="F13" i="310"/>
  <c r="F14" i="310" s="1"/>
</calcChain>
</file>

<file path=xl/sharedStrings.xml><?xml version="1.0" encoding="utf-8"?>
<sst xmlns="http://schemas.openxmlformats.org/spreadsheetml/2006/main" count="51" uniqueCount="51">
  <si>
    <t>r</t>
  </si>
  <si>
    <t>n</t>
  </si>
  <si>
    <t>G</t>
  </si>
  <si>
    <r>
      <t>k/</t>
    </r>
    <r>
      <rPr>
        <sz val="11"/>
        <rFont val="Symbol"/>
        <family val="1"/>
        <charset val="2"/>
      </rPr>
      <t>g</t>
    </r>
    <r>
      <rPr>
        <vertAlign val="subscript"/>
        <sz val="11"/>
        <rFont val="Arial"/>
        <family val="2"/>
      </rPr>
      <t>w</t>
    </r>
  </si>
  <si>
    <r>
      <t>n</t>
    </r>
    <r>
      <rPr>
        <vertAlign val="subscript"/>
        <sz val="11"/>
        <rFont val="Arial"/>
        <family val="2"/>
      </rPr>
      <t>i</t>
    </r>
  </si>
  <si>
    <t>Contact_Friction_Angle</t>
  </si>
  <si>
    <r>
      <t>p</t>
    </r>
    <r>
      <rPr>
        <vertAlign val="subscript"/>
        <sz val="11"/>
        <rFont val="Arial"/>
        <family val="2"/>
      </rPr>
      <t>0</t>
    </r>
    <r>
      <rPr>
        <sz val="11"/>
        <rFont val="Arial"/>
        <family val="2"/>
      </rPr>
      <t>'</t>
    </r>
  </si>
  <si>
    <t>OCR</t>
  </si>
  <si>
    <t>φ' [deg]</t>
  </si>
  <si>
    <t>cc</t>
  </si>
  <si>
    <t>κ*</t>
  </si>
  <si>
    <t>λ*</t>
  </si>
  <si>
    <t>z [m]</t>
  </si>
  <si>
    <t xml:space="preserve"> δ [deg]</t>
  </si>
  <si>
    <t>ʋᵤᵣ</t>
  </si>
  <si>
    <t>Series_Name</t>
  </si>
  <si>
    <t>Simulation_Number</t>
  </si>
  <si>
    <t>Gamma</t>
  </si>
  <si>
    <t>Gamma_Water</t>
  </si>
  <si>
    <t>Kappa_Star</t>
  </si>
  <si>
    <t>Lambda_Star</t>
  </si>
  <si>
    <t>CASM_N</t>
  </si>
  <si>
    <t>CASM_R</t>
  </si>
  <si>
    <t>CASM_M</t>
  </si>
  <si>
    <t>Shear_Modulus</t>
  </si>
  <si>
    <t>Poisson_Ratio</t>
  </si>
  <si>
    <t>M_CSL</t>
  </si>
  <si>
    <t>Friction_Angle</t>
  </si>
  <si>
    <t>Precon_Pressure_P0</t>
  </si>
  <si>
    <t>Permeability</t>
  </si>
  <si>
    <t>Initial_Porosity</t>
  </si>
  <si>
    <t>Initial_Sigma_V_Eff</t>
  </si>
  <si>
    <t>Initial_Sigma_H_Eff</t>
  </si>
  <si>
    <t>Initial_Water_Pressure</t>
  </si>
  <si>
    <t>u0 [kPa]</t>
  </si>
  <si>
    <t>σ'ᵥ [kPa]</t>
  </si>
  <si>
    <t>Mcomp [kPa]</t>
  </si>
  <si>
    <t>Rint</t>
  </si>
  <si>
    <r>
      <t>σ'</t>
    </r>
    <r>
      <rPr>
        <vertAlign val="subscript"/>
        <sz val="11"/>
        <rFont val="Calibri"/>
        <family val="2"/>
        <scheme val="minor"/>
      </rPr>
      <t>h</t>
    </r>
    <r>
      <rPr>
        <sz val="11"/>
        <rFont val="Calibri"/>
        <family val="2"/>
        <scheme val="minor"/>
      </rPr>
      <t xml:space="preserve"> [kPa]</t>
    </r>
  </si>
  <si>
    <t>fix_value</t>
  </si>
  <si>
    <t>igonred_value</t>
  </si>
  <si>
    <t>e0</t>
  </si>
  <si>
    <t>cs ; cr</t>
  </si>
  <si>
    <t>CPT3</t>
  </si>
  <si>
    <t>gamma [kN/m3]</t>
  </si>
  <si>
    <t>phi [deg]</t>
  </si>
  <si>
    <t>vur</t>
  </si>
  <si>
    <t>b0</t>
  </si>
  <si>
    <t>h</t>
  </si>
  <si>
    <t>lambda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</si>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</sst>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_ * #,##0.00_ ;_ * \-#,##0.00_ ;_ * &quot;-&quot;??_ ;_ @_ "/>
    <numFmt numFmtId="168" formatCode="0.0000"/>
    <numFmt numFmtId="169" formatCode="0.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1"/>
      <name val="Arial"/>
      <family val="2"/>
    </font>
    <font>
      <sz val="11"/>
      <name val="Symbol"/>
      <family val="1"/>
      <charset val="2"/>
    </font>
    <font>
      <vertAlign val="subscript"/>
      <sz val="11"/>
      <name val="Arial"/>
      <family val="2"/>
    </font>
    <font>
      <sz val="12"/>
      <name val="宋体"/>
      <family val="3"/>
      <charset val="134"/>
    </font>
    <font>
      <sz val="12"/>
      <color theme="1"/>
      <name val="Calibri"/>
      <family val="2"/>
      <charset val="136"/>
      <scheme val="minor"/>
    </font>
    <font>
      <sz val="11"/>
      <name val="Calibri"/>
      <family val="2"/>
      <scheme val="minor"/>
    </font>
    <font>
      <b/>
      <sz val="11"/>
      <color rgb="FFFA7D00"/>
      <name val="Times New Roman"/>
      <family val="2"/>
    </font>
    <font>
      <sz val="11"/>
      <color theme="5"/>
      <name val="Calibri"/>
      <family val="2"/>
      <scheme val="minor"/>
    </font>
    <font>
      <vertAlign val="subscript"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0" fontId="6" fillId="0" borderId="0"/>
    <xf numFmtId="167" fontId="6" fillId="0" borderId="0" applyFont="0" applyFill="0" applyBorder="0" applyAlignment="0" applyProtection="0"/>
    <xf numFmtId="16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64" fontId="1" fillId="0" borderId="0" applyFont="0" applyFill="0" applyBorder="0" applyAlignment="0" applyProtection="0"/>
    <xf numFmtId="0" fontId="9" fillId="4" borderId="2" applyNumberFormat="0" applyAlignment="0" applyProtection="0"/>
  </cellStyleXfs>
  <cellXfs count="20">
    <xf numFmtId="0" fontId="0" fillId="0" borderId="0" xfId="0"/>
    <xf numFmtId="0" fontId="3" fillId="0" borderId="1" xfId="2" applyFont="1" applyBorder="1" applyAlignment="1">
      <alignment horizontal="center" vertical="center"/>
    </xf>
    <xf numFmtId="165" fontId="0" fillId="0" borderId="0" xfId="1" applyFont="1"/>
    <xf numFmtId="168" fontId="0" fillId="0" borderId="0" xfId="0" applyNumberFormat="1"/>
    <xf numFmtId="2" fontId="0" fillId="0" borderId="0" xfId="1" applyNumberFormat="1" applyFont="1"/>
    <xf numFmtId="0" fontId="0" fillId="3" borderId="0" xfId="0" applyFill="1"/>
    <xf numFmtId="0" fontId="8" fillId="0" borderId="1" xfId="0" applyFont="1" applyBorder="1" applyAlignment="1">
      <alignment horizontal="center"/>
    </xf>
    <xf numFmtId="0" fontId="0" fillId="2" borderId="0" xfId="0" applyFill="1"/>
    <xf numFmtId="11" fontId="0" fillId="0" borderId="0" xfId="0" applyNumberFormat="1"/>
    <xf numFmtId="2" fontId="0" fillId="0" borderId="0" xfId="0" applyNumberFormat="1"/>
    <xf numFmtId="165" fontId="0" fillId="0" borderId="0" xfId="0" applyNumberFormat="1"/>
    <xf numFmtId="11" fontId="0" fillId="0" borderId="0" xfId="1" applyNumberFormat="1" applyFont="1"/>
    <xf numFmtId="166" fontId="0" fillId="0" borderId="0" xfId="0" applyNumberFormat="1"/>
    <xf numFmtId="0" fontId="9" fillId="4" borderId="2" xfId="8"/>
    <xf numFmtId="169" fontId="0" fillId="3" borderId="0" xfId="0" applyNumberFormat="1" applyFill="1"/>
    <xf numFmtId="165" fontId="0" fillId="0" borderId="0" xfId="1" applyFont="1" applyFill="1"/>
    <xf numFmtId="0" fontId="10" fillId="3" borderId="0" xfId="0" applyFont="1" applyFill="1"/>
    <xf numFmtId="0" fontId="10" fillId="0" borderId="0" xfId="0" applyFont="1"/>
    <xf numFmtId="0" fontId="8" fillId="0" borderId="0" xfId="0" applyFont="1"/>
    <xf numFmtId="0" fontId="8" fillId="3" borderId="0" xfId="0" applyFont="1" applyFill="1"/>
  </cellXfs>
  <cellStyles count="9">
    <cellStyle name="Calculation" xfId="8" builtinId="22"/>
    <cellStyle name="Comma" xfId="1" builtinId="3"/>
    <cellStyle name="Comma [0] 4" xfId="7" xr:uid="{9DE3E505-D345-42BF-BF5A-28C249702CAE}"/>
    <cellStyle name="Comma 157 2" xfId="5" xr:uid="{6F79AD9F-55F9-426D-8838-5F9C5BA21759}"/>
    <cellStyle name="Comma 2 3" xfId="4" xr:uid="{6B502371-EB79-4EE6-B35C-E3009D2ED4A4}"/>
    <cellStyle name="Normal" xfId="0" builtinId="0"/>
    <cellStyle name="Normal 2 3" xfId="3" xr:uid="{21B2C0E5-A06D-4651-91B0-6A9AE6C4867C}"/>
    <cellStyle name="Normal 3 2" xfId="6" xr:uid="{FBDD28D4-9669-43BD-BA1B-BE27A7665D75}"/>
    <cellStyle name="Normal 5" xfId="2" xr:uid="{FF10A644-5C1D-4EEC-95F6-0D0DC71FA7FF}"/>
  </cellStyles>
  <dxfs count="0"/>
  <tableStyles count="0" defaultTableStyle="TableStyleMedium9" defaultPivotStyle="PivotStyleLight16"/>
  <colors>
    <mruColors>
      <color rgb="FF33CC33"/>
      <color rgb="FF00FF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RBK%20Items\Paul%20Mayne%20papers\Ballina\CPTu%20Eval%20P60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lSam\Tmp%20171003%20CSPT_R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lSam\003%20Statistics\box-plo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05%20UPH\bearingcapacity_ED_YH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"/>
      <sheetName val="CPTuData"/>
      <sheetName val="vane &amp; lab BH822"/>
      <sheetName val="Profiles"/>
      <sheetName val="NTH"/>
      <sheetName val="DissEval16"/>
      <sheetName val="DissEval8"/>
      <sheetName val="DissEval5"/>
      <sheetName val="DissEval3"/>
      <sheetName val="SPM"/>
      <sheetName val="Diss Data"/>
    </sheetNames>
    <sheetDataSet>
      <sheetData sheetId="0">
        <row r="13">
          <cell r="B13" t="str">
            <v xml:space="preserve"> Data Reported</v>
          </cell>
        </row>
        <row r="18">
          <cell r="AD18">
            <v>10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Temp"/>
      <sheetName val="Soil Stratification"/>
      <sheetName val="Template"/>
      <sheetName val="SBT"/>
      <sheetName val="Tmp_Sondir"/>
      <sheetName val="DB-0"/>
      <sheetName val="Reference"/>
      <sheetName val="RD"/>
      <sheetName val="Initial"/>
      <sheetName val="Output"/>
      <sheetName val="Output2"/>
      <sheetName val="Outpu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">
          <cell r="A7" t="str">
            <v>S.3</v>
          </cell>
          <cell r="B7" t="str">
            <v>PASAR MODERN TIMUR</v>
          </cell>
          <cell r="C7" t="str">
            <v>BSD</v>
          </cell>
          <cell r="D7" t="str">
            <v>12.01.17</v>
          </cell>
          <cell r="E7" t="str">
            <v>Rohanda</v>
          </cell>
          <cell r="F7">
            <v>262.35700000000003</v>
          </cell>
          <cell r="G7">
            <v>422.97</v>
          </cell>
          <cell r="I7">
            <v>4.4000000953674316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 t="str">
            <v/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Y7">
            <v>12</v>
          </cell>
          <cell r="Z7">
            <v>0</v>
          </cell>
          <cell r="AA7">
            <v>0</v>
          </cell>
          <cell r="AB7" t="str">
            <v>Undefined</v>
          </cell>
          <cell r="AC7">
            <v>0</v>
          </cell>
          <cell r="AD7">
            <v>0</v>
          </cell>
          <cell r="AE7">
            <v>1</v>
          </cell>
          <cell r="AF7" t="str">
            <v>Sensitive fine grained</v>
          </cell>
          <cell r="AG7">
            <v>0</v>
          </cell>
          <cell r="AH7">
            <v>0</v>
          </cell>
          <cell r="AI7" t="e">
            <v>#NUM!</v>
          </cell>
          <cell r="AJ7" t="e">
            <v>#NUM!</v>
          </cell>
          <cell r="AK7" t="e">
            <v>#NUM!</v>
          </cell>
          <cell r="AL7" t="e">
            <v>#NUM!</v>
          </cell>
          <cell r="AM7" t="e">
            <v>#NUM!</v>
          </cell>
          <cell r="AN7" t="e">
            <v>#NUM!</v>
          </cell>
          <cell r="AO7" t="e">
            <v>#NUM!</v>
          </cell>
          <cell r="AP7" t="e">
            <v>#NUM!</v>
          </cell>
          <cell r="AQ7" t="e">
            <v>#NUM!</v>
          </cell>
          <cell r="AR7" t="e">
            <v>#NUM!</v>
          </cell>
          <cell r="AS7">
            <v>1</v>
          </cell>
          <cell r="AT7" t="str">
            <v>sensitive/collapsible soils</v>
          </cell>
          <cell r="AU7">
            <v>3</v>
          </cell>
          <cell r="AV7" t="str">
            <v>CPT</v>
          </cell>
          <cell r="AW7" t="str">
            <v>CH</v>
          </cell>
          <cell r="AX7" t="e">
            <v>#VALUE!</v>
          </cell>
          <cell r="AY7" t="e">
            <v>#VALUE!</v>
          </cell>
          <cell r="AZ7" t="str">
            <v>undefined</v>
          </cell>
          <cell r="BA7" t="e">
            <v>#DIV/0!</v>
          </cell>
          <cell r="BB7">
            <v>0</v>
          </cell>
          <cell r="BC7" t="str">
            <v>S.3undefined</v>
          </cell>
        </row>
        <row r="8">
          <cell r="A8" t="str">
            <v>S.3</v>
          </cell>
          <cell r="B8" t="str">
            <v>PASAR MODERN TIMUR</v>
          </cell>
          <cell r="C8" t="str">
            <v>BSD</v>
          </cell>
          <cell r="D8" t="str">
            <v>12.01.17</v>
          </cell>
          <cell r="E8" t="str">
            <v>Rohanda</v>
          </cell>
          <cell r="F8">
            <v>262.35700000000003</v>
          </cell>
          <cell r="G8">
            <v>422.97</v>
          </cell>
          <cell r="I8">
            <v>4.4000000953674316</v>
          </cell>
          <cell r="K8">
            <v>0.20000000298023224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 t="str">
            <v/>
          </cell>
          <cell r="T8">
            <v>-0.20000000298023224</v>
          </cell>
          <cell r="U8">
            <v>0</v>
          </cell>
          <cell r="V8">
            <v>0</v>
          </cell>
          <cell r="W8">
            <v>0</v>
          </cell>
          <cell r="Y8">
            <v>12</v>
          </cell>
          <cell r="Z8">
            <v>2.4000000357627871E-3</v>
          </cell>
          <cell r="AA8">
            <v>0</v>
          </cell>
          <cell r="AB8" t="str">
            <v>Undefined</v>
          </cell>
          <cell r="AC8">
            <v>-1</v>
          </cell>
          <cell r="AD8">
            <v>0</v>
          </cell>
          <cell r="AE8">
            <v>1</v>
          </cell>
          <cell r="AF8" t="str">
            <v>Sensitive fine grained</v>
          </cell>
          <cell r="AG8">
            <v>2.4000000357627871E-3</v>
          </cell>
          <cell r="AH8">
            <v>0</v>
          </cell>
          <cell r="AI8" t="e">
            <v>#NUM!</v>
          </cell>
          <cell r="AJ8" t="e">
            <v>#NUM!</v>
          </cell>
          <cell r="AK8" t="e">
            <v>#NUM!</v>
          </cell>
          <cell r="AL8" t="e">
            <v>#NUM!</v>
          </cell>
          <cell r="AM8" t="e">
            <v>#NUM!</v>
          </cell>
          <cell r="AN8" t="e">
            <v>#NUM!</v>
          </cell>
          <cell r="AO8" t="e">
            <v>#NUM!</v>
          </cell>
          <cell r="AP8" t="e">
            <v>#NUM!</v>
          </cell>
          <cell r="AQ8" t="e">
            <v>#NUM!</v>
          </cell>
          <cell r="AR8" t="e">
            <v>#NUM!</v>
          </cell>
          <cell r="AS8">
            <v>1</v>
          </cell>
          <cell r="AT8" t="str">
            <v>sensitive/collapsible soils</v>
          </cell>
          <cell r="AU8">
            <v>23</v>
          </cell>
          <cell r="AV8" t="str">
            <v>CPT</v>
          </cell>
          <cell r="AW8" t="str">
            <v>CH</v>
          </cell>
          <cell r="AX8" t="e">
            <v>#VALUE!</v>
          </cell>
          <cell r="AY8" t="e">
            <v>#VALUE!</v>
          </cell>
          <cell r="AZ8" t="str">
            <v>undefined</v>
          </cell>
          <cell r="BA8" t="e">
            <v>#DIV/0!</v>
          </cell>
          <cell r="BB8">
            <v>0</v>
          </cell>
          <cell r="BC8" t="str">
            <v>S.3undefined</v>
          </cell>
        </row>
        <row r="9">
          <cell r="A9" t="str">
            <v>S.3</v>
          </cell>
          <cell r="B9" t="str">
            <v>PASAR MODERN TIMUR</v>
          </cell>
          <cell r="C9" t="str">
            <v>BSD</v>
          </cell>
          <cell r="D9" t="str">
            <v>12.01.17</v>
          </cell>
          <cell r="E9" t="str">
            <v>Rohanda</v>
          </cell>
          <cell r="F9">
            <v>262.35700000000003</v>
          </cell>
          <cell r="G9">
            <v>422.97</v>
          </cell>
          <cell r="I9">
            <v>4.4000000953674316</v>
          </cell>
          <cell r="K9">
            <v>0.40000000596046448</v>
          </cell>
          <cell r="L9">
            <v>32</v>
          </cell>
          <cell r="M9">
            <v>44</v>
          </cell>
          <cell r="N9">
            <v>12</v>
          </cell>
          <cell r="O9">
            <v>32</v>
          </cell>
          <cell r="P9">
            <v>0.8</v>
          </cell>
          <cell r="Q9">
            <v>16.000000238418579</v>
          </cell>
          <cell r="R9">
            <v>2.5</v>
          </cell>
          <cell r="S9" t="str">
            <v/>
          </cell>
          <cell r="T9">
            <v>-0.40000000596046448</v>
          </cell>
          <cell r="U9">
            <v>3.2</v>
          </cell>
          <cell r="V9">
            <v>0.08</v>
          </cell>
          <cell r="W9">
            <v>0</v>
          </cell>
          <cell r="Y9">
            <v>18</v>
          </cell>
          <cell r="Z9">
            <v>6.0000000894069672E-3</v>
          </cell>
          <cell r="AA9">
            <v>6</v>
          </cell>
          <cell r="AB9" t="str">
            <v>Sandy silt to clayey silt</v>
          </cell>
          <cell r="AC9">
            <v>532.33332538604748</v>
          </cell>
          <cell r="AD9">
            <v>2.5046963056430609E-2</v>
          </cell>
          <cell r="AE9">
            <v>8</v>
          </cell>
          <cell r="AF9" t="str">
            <v>V.Stiff sand to clayey sand</v>
          </cell>
          <cell r="AG9">
            <v>6.0000000894069672E-3</v>
          </cell>
          <cell r="AH9">
            <v>2.5046963056430607</v>
          </cell>
          <cell r="AI9">
            <v>1.7814687055002272</v>
          </cell>
          <cell r="AJ9">
            <v>3.4382316615594044E-5</v>
          </cell>
          <cell r="AK9">
            <v>21889.405109819636</v>
          </cell>
          <cell r="AL9">
            <v>0</v>
          </cell>
          <cell r="AM9">
            <v>47.588020204286885</v>
          </cell>
          <cell r="AN9">
            <v>0</v>
          </cell>
          <cell r="AO9">
            <v>26350.499999262393</v>
          </cell>
          <cell r="AP9">
            <v>12800</v>
          </cell>
          <cell r="AQ9">
            <v>6.1442096075420842</v>
          </cell>
          <cell r="AR9">
            <v>5.2081556528800146</v>
          </cell>
          <cell r="AS9">
            <v>4</v>
          </cell>
          <cell r="AT9" t="str">
            <v>Sandy SILT to Silty SAND</v>
          </cell>
          <cell r="AV9" t="str">
            <v>CPT</v>
          </cell>
          <cell r="AW9" t="str">
            <v>ML/SM</v>
          </cell>
          <cell r="AX9" t="str">
            <v>Loose</v>
          </cell>
          <cell r="AY9">
            <v>3.15</v>
          </cell>
          <cell r="AZ9" t="str">
            <v>Medium</v>
          </cell>
          <cell r="BA9">
            <v>6</v>
          </cell>
          <cell r="BB9">
            <v>0.20000000298023224</v>
          </cell>
          <cell r="BC9" t="str">
            <v>S.3Medium</v>
          </cell>
        </row>
        <row r="10">
          <cell r="A10" t="str">
            <v>S.3</v>
          </cell>
          <cell r="B10" t="str">
            <v>PASAR MODERN TIMUR</v>
          </cell>
          <cell r="C10" t="str">
            <v>BSD</v>
          </cell>
          <cell r="D10" t="str">
            <v>12.01.17</v>
          </cell>
          <cell r="E10" t="str">
            <v>Rohanda</v>
          </cell>
          <cell r="F10">
            <v>262.35700000000003</v>
          </cell>
          <cell r="G10">
            <v>422.97</v>
          </cell>
          <cell r="I10">
            <v>4.4000000953674316</v>
          </cell>
          <cell r="K10">
            <v>0.60000002384185791</v>
          </cell>
          <cell r="L10">
            <v>31</v>
          </cell>
          <cell r="M10">
            <v>44</v>
          </cell>
          <cell r="N10">
            <v>13</v>
          </cell>
          <cell r="O10">
            <v>31</v>
          </cell>
          <cell r="P10">
            <v>0.8666666666666667</v>
          </cell>
          <cell r="Q10">
            <v>33.333335121472679</v>
          </cell>
          <cell r="R10">
            <v>2.795698924731183</v>
          </cell>
          <cell r="S10" t="str">
            <v/>
          </cell>
          <cell r="T10">
            <v>-0.60000002384185791</v>
          </cell>
          <cell r="U10">
            <v>3.1</v>
          </cell>
          <cell r="V10">
            <v>8.666666666666667E-2</v>
          </cell>
          <cell r="W10">
            <v>0</v>
          </cell>
          <cell r="Y10">
            <v>18</v>
          </cell>
          <cell r="Z10">
            <v>9.6000004112720486E-3</v>
          </cell>
          <cell r="AA10">
            <v>5</v>
          </cell>
          <cell r="AB10" t="str">
            <v>Clayey silt to silty clay</v>
          </cell>
          <cell r="AC10">
            <v>321.91665283264655</v>
          </cell>
          <cell r="AD10">
            <v>2.8043834674540614E-2</v>
          </cell>
          <cell r="AE10">
            <v>8</v>
          </cell>
          <cell r="AF10" t="str">
            <v>V.Stiff sand to clayey sand</v>
          </cell>
          <cell r="AG10">
            <v>9.6000004112720486E-3</v>
          </cell>
          <cell r="AH10">
            <v>2.8043834674540613</v>
          </cell>
          <cell r="AI10">
            <v>1.9255179218579861</v>
          </cell>
          <cell r="AJ10">
            <v>1.2543695922961072E-5</v>
          </cell>
          <cell r="AK10">
            <v>25417.966978652126</v>
          </cell>
          <cell r="AL10">
            <v>0</v>
          </cell>
          <cell r="AM10">
            <v>45.18517787777246</v>
          </cell>
          <cell r="AN10">
            <v>0</v>
          </cell>
          <cell r="AO10">
            <v>25495.799996607006</v>
          </cell>
          <cell r="AP10">
            <v>12400</v>
          </cell>
          <cell r="AQ10">
            <v>6.2727923007396091</v>
          </cell>
          <cell r="AR10">
            <v>4.9419777530885041</v>
          </cell>
          <cell r="AS10">
            <v>3</v>
          </cell>
          <cell r="AT10" t="str">
            <v>Clayey SILT and/or Silty CLAY</v>
          </cell>
          <cell r="AV10" t="str">
            <v>CPT</v>
          </cell>
          <cell r="AW10" t="str">
            <v>MH</v>
          </cell>
          <cell r="AX10" t="str">
            <v>Loose</v>
          </cell>
          <cell r="AY10">
            <v>3.15</v>
          </cell>
          <cell r="AZ10" t="str">
            <v>Medium</v>
          </cell>
          <cell r="BA10">
            <v>6</v>
          </cell>
          <cell r="BB10">
            <v>0.20000001788139343</v>
          </cell>
          <cell r="BC10" t="str">
            <v>S.3Medium</v>
          </cell>
        </row>
        <row r="11">
          <cell r="A11" t="str">
            <v>S.3</v>
          </cell>
          <cell r="B11" t="str">
            <v>PASAR MODERN TIMUR</v>
          </cell>
          <cell r="C11" t="str">
            <v>BSD</v>
          </cell>
          <cell r="D11" t="str">
            <v>12.01.17</v>
          </cell>
          <cell r="E11" t="str">
            <v>Rohanda</v>
          </cell>
          <cell r="F11">
            <v>262.35700000000003</v>
          </cell>
          <cell r="G11">
            <v>422.97</v>
          </cell>
          <cell r="I11">
            <v>4.4000000953674316</v>
          </cell>
          <cell r="K11">
            <v>0.80000001192092896</v>
          </cell>
          <cell r="L11">
            <v>42</v>
          </cell>
          <cell r="M11">
            <v>50</v>
          </cell>
          <cell r="N11">
            <v>8</v>
          </cell>
          <cell r="O11">
            <v>42</v>
          </cell>
          <cell r="P11">
            <v>0.53333333333333333</v>
          </cell>
          <cell r="Q11">
            <v>44.000001152356468</v>
          </cell>
          <cell r="R11">
            <v>1.2698412698412698</v>
          </cell>
          <cell r="S11" t="str">
            <v/>
          </cell>
          <cell r="T11">
            <v>-0.80000001192092896</v>
          </cell>
          <cell r="U11">
            <v>4.2</v>
          </cell>
          <cell r="V11">
            <v>5.333333333333333E-2</v>
          </cell>
          <cell r="W11">
            <v>0</v>
          </cell>
          <cell r="Y11">
            <v>18.5</v>
          </cell>
          <cell r="Z11">
            <v>1.3300000190734863E-2</v>
          </cell>
          <cell r="AA11">
            <v>7</v>
          </cell>
          <cell r="AB11" t="str">
            <v>Silty sand to sandy silt</v>
          </cell>
          <cell r="AC11">
            <v>314.78946915548414</v>
          </cell>
          <cell r="AD11">
            <v>1.2738752080579705E-2</v>
          </cell>
          <cell r="AE11">
            <v>6</v>
          </cell>
          <cell r="AF11" t="str">
            <v>Sand</v>
          </cell>
          <cell r="AG11">
            <v>1.3300000190734863E-2</v>
          </cell>
          <cell r="AH11">
            <v>1.2738752080579705</v>
          </cell>
          <cell r="AI11">
            <v>1.6433824885493635</v>
          </cell>
          <cell r="AJ11">
            <v>9.0389344061291832E-5</v>
          </cell>
          <cell r="AK11">
            <v>24089.260615124389</v>
          </cell>
          <cell r="AL11">
            <v>0</v>
          </cell>
          <cell r="AM11">
            <v>45.078222147324183</v>
          </cell>
          <cell r="AN11">
            <v>0</v>
          </cell>
          <cell r="AO11">
            <v>34540.274998426437</v>
          </cell>
          <cell r="AP11">
            <v>16800</v>
          </cell>
          <cell r="AQ11">
            <v>7.6876402431756921</v>
          </cell>
          <cell r="AR11">
            <v>5.4633149668109589</v>
          </cell>
          <cell r="AS11">
            <v>4</v>
          </cell>
          <cell r="AT11" t="str">
            <v>Sandy SILT to Silty SAND</v>
          </cell>
          <cell r="AV11" t="str">
            <v>CPT</v>
          </cell>
          <cell r="AW11" t="str">
            <v>ML/SM</v>
          </cell>
          <cell r="AX11" t="str">
            <v>Medium Dense 1</v>
          </cell>
          <cell r="AY11">
            <v>5</v>
          </cell>
          <cell r="AZ11" t="str">
            <v>Medium</v>
          </cell>
          <cell r="BA11">
            <v>6</v>
          </cell>
          <cell r="BB11">
            <v>0.19999998807907104</v>
          </cell>
          <cell r="BC11" t="str">
            <v>S.3Medium</v>
          </cell>
        </row>
        <row r="12">
          <cell r="A12" t="str">
            <v>S.3</v>
          </cell>
          <cell r="B12" t="str">
            <v>PASAR MODERN TIMUR</v>
          </cell>
          <cell r="C12" t="str">
            <v>BSD</v>
          </cell>
          <cell r="D12" t="str">
            <v>12.01.17</v>
          </cell>
          <cell r="E12" t="str">
            <v>Rohanda</v>
          </cell>
          <cell r="F12">
            <v>262.35700000000003</v>
          </cell>
          <cell r="G12">
            <v>422.97</v>
          </cell>
          <cell r="I12">
            <v>4.4000000953674316</v>
          </cell>
          <cell r="K12">
            <v>1</v>
          </cell>
          <cell r="L12">
            <v>15</v>
          </cell>
          <cell r="M12">
            <v>20</v>
          </cell>
          <cell r="N12">
            <v>5</v>
          </cell>
          <cell r="O12">
            <v>15</v>
          </cell>
          <cell r="P12">
            <v>0.33333333333333331</v>
          </cell>
          <cell r="Q12">
            <v>50.666667421658836</v>
          </cell>
          <cell r="R12">
            <v>2.2222222222222219</v>
          </cell>
          <cell r="S12" t="str">
            <v/>
          </cell>
          <cell r="T12">
            <v>-1</v>
          </cell>
          <cell r="U12">
            <v>1.5</v>
          </cell>
          <cell r="V12">
            <v>3.3333333333333333E-2</v>
          </cell>
          <cell r="W12">
            <v>0</v>
          </cell>
          <cell r="Y12">
            <v>18</v>
          </cell>
          <cell r="Z12">
            <v>1.6899999976158143E-2</v>
          </cell>
          <cell r="AA12">
            <v>5</v>
          </cell>
          <cell r="AB12" t="str">
            <v>Clayey silt to silty clay</v>
          </cell>
          <cell r="AC12">
            <v>87.757396574919596</v>
          </cell>
          <cell r="AD12">
            <v>2.2475445575347228E-2</v>
          </cell>
          <cell r="AE12">
            <v>5</v>
          </cell>
          <cell r="AF12" t="str">
            <v>Sand mixtures</v>
          </cell>
          <cell r="AG12">
            <v>1.6899999976158143E-2</v>
          </cell>
          <cell r="AH12">
            <v>2.2475445575347228</v>
          </cell>
          <cell r="AI12">
            <v>2.1911480048602257</v>
          </cell>
          <cell r="AJ12">
            <v>1.953934788230097E-6</v>
          </cell>
          <cell r="AK12">
            <v>17076.273288716733</v>
          </cell>
          <cell r="AL12">
            <v>37.077500000596046</v>
          </cell>
          <cell r="AM12">
            <v>0</v>
          </cell>
          <cell r="AN12">
            <v>105222.7792892219</v>
          </cell>
          <cell r="AO12">
            <v>17076.273288716733</v>
          </cell>
          <cell r="AP12">
            <v>3000</v>
          </cell>
          <cell r="AQ12">
            <v>3.369923546652978</v>
          </cell>
          <cell r="AR12">
            <v>4.451139556236539</v>
          </cell>
          <cell r="AS12">
            <v>3</v>
          </cell>
          <cell r="AT12" t="str">
            <v>Clayey SILT and/or Silty CLAY</v>
          </cell>
          <cell r="AV12" t="str">
            <v>CPT</v>
          </cell>
          <cell r="AW12" t="str">
            <v>MH</v>
          </cell>
          <cell r="AX12" t="str">
            <v>Stiff</v>
          </cell>
          <cell r="AY12">
            <v>1.7749999999999999</v>
          </cell>
          <cell r="AZ12" t="str">
            <v>Soft</v>
          </cell>
          <cell r="BA12">
            <v>2</v>
          </cell>
          <cell r="BB12">
            <v>0.19999998807907104</v>
          </cell>
          <cell r="BC12" t="str">
            <v>S.3Soft</v>
          </cell>
        </row>
        <row r="13">
          <cell r="A13" t="str">
            <v>S.3</v>
          </cell>
          <cell r="B13" t="str">
            <v>PASAR MODERN TIMUR</v>
          </cell>
          <cell r="C13" t="str">
            <v>BSD</v>
          </cell>
          <cell r="D13" t="str">
            <v>12.01.17</v>
          </cell>
          <cell r="E13" t="str">
            <v>Rohanda</v>
          </cell>
          <cell r="F13">
            <v>262.35700000000003</v>
          </cell>
          <cell r="G13">
            <v>422.97</v>
          </cell>
          <cell r="I13">
            <v>4.4000000953674316</v>
          </cell>
          <cell r="K13">
            <v>1.2000000476837158</v>
          </cell>
          <cell r="L13">
            <v>11</v>
          </cell>
          <cell r="M13">
            <v>15</v>
          </cell>
          <cell r="N13">
            <v>4</v>
          </cell>
          <cell r="O13">
            <v>11</v>
          </cell>
          <cell r="P13">
            <v>0.26666666666666666</v>
          </cell>
          <cell r="Q13">
            <v>56.000002026557922</v>
          </cell>
          <cell r="R13">
            <v>2.4242424242424243</v>
          </cell>
          <cell r="S13" t="str">
            <v/>
          </cell>
          <cell r="T13">
            <v>-1.2000000476837158</v>
          </cell>
          <cell r="U13">
            <v>1.1000000000000001</v>
          </cell>
          <cell r="V13">
            <v>2.6666666666666665E-2</v>
          </cell>
          <cell r="W13">
            <v>0</v>
          </cell>
          <cell r="Y13">
            <v>18</v>
          </cell>
          <cell r="Z13">
            <v>2.0500000834465029E-2</v>
          </cell>
          <cell r="AA13">
            <v>5</v>
          </cell>
          <cell r="AB13" t="str">
            <v>Clayey silt to silty clay</v>
          </cell>
          <cell r="AC13">
            <v>52.658534401162413</v>
          </cell>
          <cell r="AD13">
            <v>2.4702794522723746E-2</v>
          </cell>
          <cell r="AE13">
            <v>5</v>
          </cell>
          <cell r="AF13" t="str">
            <v>Sand mixtures</v>
          </cell>
          <cell r="AG13">
            <v>2.0500000834465029E-2</v>
          </cell>
          <cell r="AH13">
            <v>2.4702794522723748</v>
          </cell>
          <cell r="AI13">
            <v>2.3787205402030369</v>
          </cell>
          <cell r="AJ13">
            <v>5.2564139328411138E-7</v>
          </cell>
          <cell r="AK13">
            <v>15112.99998831749</v>
          </cell>
          <cell r="AL13">
            <v>26.987499979138374</v>
          </cell>
          <cell r="AM13">
            <v>0</v>
          </cell>
          <cell r="AN13">
            <v>26128.012022009239</v>
          </cell>
          <cell r="AO13">
            <v>15761.959327267024</v>
          </cell>
          <cell r="AP13">
            <v>2200</v>
          </cell>
          <cell r="AQ13">
            <v>2.6799604841322937</v>
          </cell>
          <cell r="AR13">
            <v>4.1045381322335182</v>
          </cell>
          <cell r="AS13">
            <v>2</v>
          </cell>
          <cell r="AT13" t="str">
            <v>CLAY and/or SILT</v>
          </cell>
          <cell r="AV13" t="str">
            <v>CPT</v>
          </cell>
          <cell r="AW13" t="str">
            <v>MH/CL</v>
          </cell>
          <cell r="AX13" t="str">
            <v>Medium</v>
          </cell>
          <cell r="AY13">
            <v>1.05</v>
          </cell>
          <cell r="AZ13" t="str">
            <v>Soft</v>
          </cell>
          <cell r="BA13">
            <v>2</v>
          </cell>
          <cell r="BB13">
            <v>0.20000004768371582</v>
          </cell>
          <cell r="BC13" t="str">
            <v>S.3Soft</v>
          </cell>
        </row>
        <row r="14">
          <cell r="A14" t="str">
            <v>S.3</v>
          </cell>
          <cell r="B14" t="str">
            <v>PASAR MODERN TIMUR</v>
          </cell>
          <cell r="C14" t="str">
            <v>BSD</v>
          </cell>
          <cell r="D14" t="str">
            <v>12.01.17</v>
          </cell>
          <cell r="E14" t="str">
            <v>Rohanda</v>
          </cell>
          <cell r="F14">
            <v>262.35700000000003</v>
          </cell>
          <cell r="G14">
            <v>422.97</v>
          </cell>
          <cell r="I14">
            <v>4.4000000953674316</v>
          </cell>
          <cell r="K14">
            <v>1.3999999761581421</v>
          </cell>
          <cell r="L14">
            <v>10</v>
          </cell>
          <cell r="M14">
            <v>15</v>
          </cell>
          <cell r="N14">
            <v>5</v>
          </cell>
          <cell r="O14">
            <v>10</v>
          </cell>
          <cell r="P14">
            <v>0.33333333333333331</v>
          </cell>
          <cell r="Q14">
            <v>62.666666309038796</v>
          </cell>
          <cell r="R14">
            <v>3.3333333333333335</v>
          </cell>
          <cell r="S14" t="str">
            <v/>
          </cell>
          <cell r="T14">
            <v>-1.3999999761581421</v>
          </cell>
          <cell r="U14">
            <v>1</v>
          </cell>
          <cell r="V14">
            <v>3.3333333333333333E-2</v>
          </cell>
          <cell r="W14">
            <v>0</v>
          </cell>
          <cell r="Y14">
            <v>18</v>
          </cell>
          <cell r="Z14">
            <v>2.4099999547004702E-2</v>
          </cell>
          <cell r="AA14">
            <v>4</v>
          </cell>
          <cell r="AB14" t="str">
            <v>Silty clay to clay</v>
          </cell>
          <cell r="AC14">
            <v>40.493776713547128</v>
          </cell>
          <cell r="AD14">
            <v>3.4156505090542674E-2</v>
          </cell>
          <cell r="AE14">
            <v>4</v>
          </cell>
          <cell r="AF14" t="str">
            <v>Silt mixtures</v>
          </cell>
          <cell r="AG14">
            <v>2.4099999547004702E-2</v>
          </cell>
          <cell r="AH14">
            <v>3.4156505090542675</v>
          </cell>
          <cell r="AI14">
            <v>2.5581226446015695</v>
          </cell>
          <cell r="AJ14">
            <v>1.4972942625018406E-7</v>
          </cell>
          <cell r="AK14">
            <v>13662.600006341934</v>
          </cell>
          <cell r="AL14">
            <v>24.397500011324883</v>
          </cell>
          <cell r="AM14">
            <v>0</v>
          </cell>
          <cell r="AN14">
            <v>8444.5750374385279</v>
          </cell>
          <cell r="AO14">
            <v>17883.974081423261</v>
          </cell>
          <cell r="AP14">
            <v>2000</v>
          </cell>
          <cell r="AQ14">
            <v>2.6503867588199772</v>
          </cell>
          <cell r="AR14">
            <v>3.7730342436710127</v>
          </cell>
          <cell r="AS14">
            <v>2</v>
          </cell>
          <cell r="AT14" t="str">
            <v>CLAY and/or SILT</v>
          </cell>
          <cell r="AV14" t="str">
            <v>CPT</v>
          </cell>
          <cell r="AW14" t="str">
            <v>MH/CL</v>
          </cell>
          <cell r="AX14" t="str">
            <v>Medium</v>
          </cell>
          <cell r="AY14">
            <v>1.05</v>
          </cell>
          <cell r="AZ14" t="str">
            <v>Soft</v>
          </cell>
          <cell r="BA14">
            <v>2</v>
          </cell>
          <cell r="BB14">
            <v>0.19999992847442627</v>
          </cell>
          <cell r="BC14" t="str">
            <v>S.3Soft</v>
          </cell>
        </row>
        <row r="15">
          <cell r="A15" t="str">
            <v>S.3</v>
          </cell>
          <cell r="B15" t="str">
            <v>PASAR MODERN TIMUR</v>
          </cell>
          <cell r="C15" t="str">
            <v>BSD</v>
          </cell>
          <cell r="D15" t="str">
            <v>12.01.17</v>
          </cell>
          <cell r="E15" t="str">
            <v>Rohanda</v>
          </cell>
          <cell r="F15">
            <v>262.35700000000003</v>
          </cell>
          <cell r="G15">
            <v>422.97</v>
          </cell>
          <cell r="I15">
            <v>4.4000000953674316</v>
          </cell>
          <cell r="K15">
            <v>1.6000000238418579</v>
          </cell>
          <cell r="L15">
            <v>8</v>
          </cell>
          <cell r="M15">
            <v>12</v>
          </cell>
          <cell r="N15">
            <v>4</v>
          </cell>
          <cell r="O15">
            <v>8</v>
          </cell>
          <cell r="P15">
            <v>0.26666666666666666</v>
          </cell>
          <cell r="Q15">
            <v>68.000000913937882</v>
          </cell>
          <cell r="R15">
            <v>3.3333333333333335</v>
          </cell>
          <cell r="S15" t="str">
            <v/>
          </cell>
          <cell r="T15">
            <v>-1.6000000238418579</v>
          </cell>
          <cell r="U15">
            <v>0.8</v>
          </cell>
          <cell r="V15">
            <v>2.6666666666666665E-2</v>
          </cell>
          <cell r="W15">
            <v>0</v>
          </cell>
          <cell r="Y15">
            <v>17.5</v>
          </cell>
          <cell r="Z15">
            <v>2.760000038146973E-2</v>
          </cell>
          <cell r="AA15">
            <v>3</v>
          </cell>
          <cell r="AB15" t="str">
            <v>Clay</v>
          </cell>
          <cell r="AC15">
            <v>27.985506845757484</v>
          </cell>
          <cell r="AD15">
            <v>3.4524426048468004E-2</v>
          </cell>
          <cell r="AE15">
            <v>4</v>
          </cell>
          <cell r="AF15" t="str">
            <v>Silt mixtures</v>
          </cell>
          <cell r="AG15">
            <v>2.760000038146973E-2</v>
          </cell>
          <cell r="AH15">
            <v>3.4524426048468007</v>
          </cell>
          <cell r="AI15">
            <v>2.68026268233749</v>
          </cell>
          <cell r="AJ15">
            <v>6.3679764069772079E-8</v>
          </cell>
          <cell r="AK15">
            <v>10813.599994659426</v>
          </cell>
          <cell r="AL15">
            <v>19.309999990463258</v>
          </cell>
          <cell r="AM15">
            <v>0</v>
          </cell>
          <cell r="AN15">
            <v>3318.0738807421162</v>
          </cell>
          <cell r="AO15">
            <v>16522.58517004138</v>
          </cell>
          <cell r="AP15">
            <v>1600</v>
          </cell>
          <cell r="AQ15">
            <v>2.255210504517053</v>
          </cell>
          <cell r="AR15">
            <v>3.5473406956807243</v>
          </cell>
          <cell r="AS15">
            <v>2</v>
          </cell>
          <cell r="AT15" t="str">
            <v>CLAY and/or SILT</v>
          </cell>
          <cell r="AV15" t="str">
            <v>CPT</v>
          </cell>
          <cell r="AW15" t="str">
            <v>MH/CL</v>
          </cell>
          <cell r="AX15" t="str">
            <v>Soft</v>
          </cell>
          <cell r="AY15">
            <v>0.82499999999999996</v>
          </cell>
          <cell r="AZ15" t="str">
            <v>Soft</v>
          </cell>
          <cell r="BA15">
            <v>2</v>
          </cell>
          <cell r="BB15">
            <v>0.20000004768371582</v>
          </cell>
          <cell r="BC15" t="str">
            <v>S.3Soft</v>
          </cell>
        </row>
        <row r="16">
          <cell r="A16" t="str">
            <v>S.3</v>
          </cell>
          <cell r="B16" t="str">
            <v>PASAR MODERN TIMUR</v>
          </cell>
          <cell r="C16" t="str">
            <v>BSD</v>
          </cell>
          <cell r="D16" t="str">
            <v>12.01.17</v>
          </cell>
          <cell r="E16" t="str">
            <v>Rohanda</v>
          </cell>
          <cell r="F16">
            <v>262.35700000000003</v>
          </cell>
          <cell r="G16">
            <v>422.97</v>
          </cell>
          <cell r="I16">
            <v>4.4000000953674316</v>
          </cell>
          <cell r="K16">
            <v>1.7999999523162842</v>
          </cell>
          <cell r="L16">
            <v>8</v>
          </cell>
          <cell r="M16">
            <v>12</v>
          </cell>
          <cell r="N16">
            <v>4</v>
          </cell>
          <cell r="O16">
            <v>8</v>
          </cell>
          <cell r="P16">
            <v>0.26666666666666666</v>
          </cell>
          <cell r="Q16">
            <v>73.333332339922578</v>
          </cell>
          <cell r="R16">
            <v>3.3333333333333335</v>
          </cell>
          <cell r="S16" t="str">
            <v/>
          </cell>
          <cell r="T16">
            <v>-1.7999999523162842</v>
          </cell>
          <cell r="U16">
            <v>0.8</v>
          </cell>
          <cell r="V16">
            <v>2.6666666666666665E-2</v>
          </cell>
          <cell r="W16">
            <v>0</v>
          </cell>
          <cell r="Y16">
            <v>17.5</v>
          </cell>
          <cell r="Z16">
            <v>3.1099999129772189E-2</v>
          </cell>
          <cell r="AA16">
            <v>3</v>
          </cell>
          <cell r="AB16" t="str">
            <v>Clay</v>
          </cell>
          <cell r="AC16">
            <v>24.723473388594275</v>
          </cell>
          <cell r="AD16">
            <v>3.4681579706705414E-2</v>
          </cell>
          <cell r="AE16">
            <v>4</v>
          </cell>
          <cell r="AF16" t="str">
            <v>Silt mixtures</v>
          </cell>
          <cell r="AG16">
            <v>3.1099999129772189E-2</v>
          </cell>
          <cell r="AH16">
            <v>3.4681579706705414</v>
          </cell>
          <cell r="AI16">
            <v>2.7223927432589878</v>
          </cell>
          <cell r="AJ16">
            <v>4.7416125148302442E-8</v>
          </cell>
          <cell r="AK16">
            <v>10764.600012183189</v>
          </cell>
          <cell r="AL16">
            <v>19.2225000217557</v>
          </cell>
          <cell r="AM16">
            <v>0</v>
          </cell>
          <cell r="AN16">
            <v>2594.2378814207932</v>
          </cell>
          <cell r="AO16">
            <v>17349.107148457198</v>
          </cell>
          <cell r="AP16">
            <v>1600</v>
          </cell>
          <cell r="AQ16">
            <v>2.305813289314028</v>
          </cell>
          <cell r="AR16">
            <v>3.4694916700649143</v>
          </cell>
          <cell r="AS16">
            <v>2</v>
          </cell>
          <cell r="AT16" t="str">
            <v>CLAY and/or SILT</v>
          </cell>
          <cell r="AV16" t="str">
            <v>CPT</v>
          </cell>
          <cell r="AW16" t="str">
            <v>MH/CL</v>
          </cell>
          <cell r="AX16" t="str">
            <v>Soft</v>
          </cell>
          <cell r="AY16">
            <v>0.82499999999999996</v>
          </cell>
          <cell r="AZ16" t="str">
            <v>Soft</v>
          </cell>
          <cell r="BA16">
            <v>2</v>
          </cell>
          <cell r="BB16">
            <v>0.19999992847442627</v>
          </cell>
          <cell r="BC16" t="str">
            <v>S.3Soft</v>
          </cell>
        </row>
        <row r="17">
          <cell r="A17" t="str">
            <v>S.3</v>
          </cell>
          <cell r="B17" t="str">
            <v>PASAR MODERN TIMUR</v>
          </cell>
          <cell r="C17" t="str">
            <v>BSD</v>
          </cell>
          <cell r="D17" t="str">
            <v>12.01.17</v>
          </cell>
          <cell r="E17" t="str">
            <v>Rohanda</v>
          </cell>
          <cell r="F17">
            <v>262.35700000000003</v>
          </cell>
          <cell r="G17">
            <v>422.97</v>
          </cell>
          <cell r="I17">
            <v>4.4000000953674316</v>
          </cell>
          <cell r="K17">
            <v>2</v>
          </cell>
          <cell r="L17">
            <v>9</v>
          </cell>
          <cell r="M17">
            <v>12</v>
          </cell>
          <cell r="N17">
            <v>3</v>
          </cell>
          <cell r="O17">
            <v>9</v>
          </cell>
          <cell r="P17">
            <v>0.2</v>
          </cell>
          <cell r="Q17">
            <v>77.333333293596894</v>
          </cell>
          <cell r="R17">
            <v>2.2222222222222223</v>
          </cell>
          <cell r="S17" t="str">
            <v/>
          </cell>
          <cell r="T17">
            <v>-2</v>
          </cell>
          <cell r="U17">
            <v>0.9</v>
          </cell>
          <cell r="V17">
            <v>0.02</v>
          </cell>
          <cell r="W17">
            <v>0</v>
          </cell>
          <cell r="Y17">
            <v>18</v>
          </cell>
          <cell r="Z17">
            <v>3.4699999988079072E-2</v>
          </cell>
          <cell r="AA17">
            <v>5</v>
          </cell>
          <cell r="AB17" t="str">
            <v>Clayey silt to silty clay</v>
          </cell>
          <cell r="AC17">
            <v>24.936599432541453</v>
          </cell>
          <cell r="AD17">
            <v>2.3113371084854346E-2</v>
          </cell>
          <cell r="AE17">
            <v>4</v>
          </cell>
          <cell r="AF17" t="str">
            <v>Silt mixtures</v>
          </cell>
          <cell r="AG17">
            <v>3.4699999988079072E-2</v>
          </cell>
          <cell r="AH17">
            <v>2.3113371084854348</v>
          </cell>
          <cell r="AI17">
            <v>2.6089512840020288</v>
          </cell>
          <cell r="AJ17">
            <v>1.049030455017027E-7</v>
          </cell>
          <cell r="AK17">
            <v>12114.200000166895</v>
          </cell>
          <cell r="AL17">
            <v>21.632500000298023</v>
          </cell>
          <cell r="AM17">
            <v>0</v>
          </cell>
          <cell r="AN17">
            <v>5594.6880049984002</v>
          </cell>
          <cell r="AO17">
            <v>16911.462579957475</v>
          </cell>
          <cell r="AP17">
            <v>1800</v>
          </cell>
          <cell r="AQ17">
            <v>2.4462426238791641</v>
          </cell>
          <cell r="AR17">
            <v>3.679111757822338</v>
          </cell>
          <cell r="AS17">
            <v>2</v>
          </cell>
          <cell r="AT17" t="str">
            <v>CLAY and/or SILT</v>
          </cell>
          <cell r="AV17" t="str">
            <v>CPT</v>
          </cell>
          <cell r="AW17" t="str">
            <v>MH/CL</v>
          </cell>
          <cell r="AX17" t="str">
            <v>Soft</v>
          </cell>
          <cell r="AY17">
            <v>0.82499999999999996</v>
          </cell>
          <cell r="AZ17" t="str">
            <v>Soft</v>
          </cell>
          <cell r="BA17">
            <v>2</v>
          </cell>
          <cell r="BB17">
            <v>0.20000004768371582</v>
          </cell>
          <cell r="BC17" t="str">
            <v>S.3Soft</v>
          </cell>
        </row>
        <row r="18">
          <cell r="A18" t="str">
            <v>S.3</v>
          </cell>
          <cell r="B18" t="str">
            <v>PASAR MODERN TIMUR</v>
          </cell>
          <cell r="C18" t="str">
            <v>BSD</v>
          </cell>
          <cell r="D18" t="str">
            <v>12.01.17</v>
          </cell>
          <cell r="E18" t="str">
            <v>Rohanda</v>
          </cell>
          <cell r="F18">
            <v>262.35700000000003</v>
          </cell>
          <cell r="G18">
            <v>422.97</v>
          </cell>
          <cell r="I18">
            <v>4.4000000953674316</v>
          </cell>
          <cell r="K18">
            <v>2.2000000476837158</v>
          </cell>
          <cell r="L18">
            <v>8</v>
          </cell>
          <cell r="M18">
            <v>15</v>
          </cell>
          <cell r="N18">
            <v>7</v>
          </cell>
          <cell r="O18">
            <v>8</v>
          </cell>
          <cell r="P18">
            <v>0.46666666666666667</v>
          </cell>
          <cell r="Q18">
            <v>86.666668852170304</v>
          </cell>
          <cell r="R18">
            <v>5.833333333333333</v>
          </cell>
          <cell r="S18" t="str">
            <v/>
          </cell>
          <cell r="T18">
            <v>-2.2000000476837158</v>
          </cell>
          <cell r="U18">
            <v>0.8</v>
          </cell>
          <cell r="V18">
            <v>4.6666666666666669E-2</v>
          </cell>
          <cell r="W18">
            <v>0</v>
          </cell>
          <cell r="Y18">
            <v>17.5</v>
          </cell>
          <cell r="Z18">
            <v>3.82000008225441E-2</v>
          </cell>
          <cell r="AA18">
            <v>3</v>
          </cell>
          <cell r="AB18" t="str">
            <v>Clay</v>
          </cell>
          <cell r="AC18">
            <v>19.942407926019531</v>
          </cell>
          <cell r="AD18">
            <v>6.125842309931008E-2</v>
          </cell>
          <cell r="AE18">
            <v>3</v>
          </cell>
          <cell r="AF18" t="str">
            <v>Clays</v>
          </cell>
          <cell r="AG18">
            <v>3.82000008225441E-2</v>
          </cell>
          <cell r="AH18">
            <v>6.1258423099310084</v>
          </cell>
          <cell r="AI18">
            <v>2.956108909678159</v>
          </cell>
          <cell r="AJ18">
            <v>9.2348302013324739E-9</v>
          </cell>
          <cell r="AK18">
            <v>10665.199988484384</v>
          </cell>
          <cell r="AL18">
            <v>19.044999979436401</v>
          </cell>
          <cell r="AM18">
            <v>0</v>
          </cell>
          <cell r="AN18">
            <v>673.01950176210755</v>
          </cell>
          <cell r="AO18">
            <v>23109.583973524521</v>
          </cell>
          <cell r="AP18">
            <v>1600</v>
          </cell>
          <cell r="AQ18">
            <v>2.633636613881928</v>
          </cell>
          <cell r="AR18">
            <v>3.0376248408120965</v>
          </cell>
          <cell r="AS18">
            <v>2</v>
          </cell>
          <cell r="AT18" t="str">
            <v>CLAY and/or SILT</v>
          </cell>
          <cell r="AV18" t="str">
            <v>CPT</v>
          </cell>
          <cell r="AW18" t="str">
            <v>MH/CL</v>
          </cell>
          <cell r="AX18" t="str">
            <v>Soft</v>
          </cell>
          <cell r="AY18">
            <v>0.82499999999999996</v>
          </cell>
          <cell r="AZ18" t="str">
            <v>Soft</v>
          </cell>
          <cell r="BA18">
            <v>2</v>
          </cell>
          <cell r="BB18">
            <v>0.20000004768371582</v>
          </cell>
          <cell r="BC18" t="str">
            <v>S.3Soft</v>
          </cell>
        </row>
        <row r="19">
          <cell r="A19" t="str">
            <v>S.3</v>
          </cell>
          <cell r="B19" t="str">
            <v>PASAR MODERN TIMUR</v>
          </cell>
          <cell r="C19" t="str">
            <v>BSD</v>
          </cell>
          <cell r="D19" t="str">
            <v>12.01.17</v>
          </cell>
          <cell r="E19" t="str">
            <v>Rohanda</v>
          </cell>
          <cell r="F19">
            <v>262.35700000000003</v>
          </cell>
          <cell r="G19">
            <v>422.97</v>
          </cell>
          <cell r="I19">
            <v>4.4000000953674316</v>
          </cell>
          <cell r="K19">
            <v>2.4000000953674316</v>
          </cell>
          <cell r="L19">
            <v>15</v>
          </cell>
          <cell r="M19">
            <v>25</v>
          </cell>
          <cell r="N19">
            <v>10</v>
          </cell>
          <cell r="O19">
            <v>15</v>
          </cell>
          <cell r="P19">
            <v>0.66666666666666663</v>
          </cell>
          <cell r="Q19">
            <v>100.00000536441803</v>
          </cell>
          <cell r="R19">
            <v>4.4444444444444438</v>
          </cell>
          <cell r="S19" t="str">
            <v/>
          </cell>
          <cell r="T19">
            <v>-2.4000000953674316</v>
          </cell>
          <cell r="U19">
            <v>1.5</v>
          </cell>
          <cell r="V19">
            <v>6.6666666666666666E-2</v>
          </cell>
          <cell r="W19">
            <v>0</v>
          </cell>
          <cell r="Y19">
            <v>17.5</v>
          </cell>
          <cell r="Z19">
            <v>4.1700001657009128E-2</v>
          </cell>
          <cell r="AA19">
            <v>3</v>
          </cell>
          <cell r="AB19" t="str">
            <v>Clay</v>
          </cell>
          <cell r="AC19">
            <v>34.97122159221481</v>
          </cell>
          <cell r="AD19">
            <v>4.5715330688073361E-2</v>
          </cell>
          <cell r="AE19">
            <v>4</v>
          </cell>
          <cell r="AF19" t="str">
            <v>Silt mixtures</v>
          </cell>
          <cell r="AG19">
            <v>4.1700001657009128E-2</v>
          </cell>
          <cell r="AH19">
            <v>4.5715330688073363</v>
          </cell>
          <cell r="AI19">
            <v>2.6916951329706271</v>
          </cell>
          <cell r="AJ19">
            <v>5.8782329895813805E-8</v>
          </cell>
          <cell r="AK19">
            <v>20416.199976801872</v>
          </cell>
          <cell r="AL19">
            <v>36.457499958574772</v>
          </cell>
          <cell r="AM19">
            <v>0</v>
          </cell>
          <cell r="AN19">
            <v>5867.1049946713201</v>
          </cell>
          <cell r="AO19">
            <v>31649.76265106889</v>
          </cell>
          <cell r="AP19">
            <v>3000</v>
          </cell>
          <cell r="AQ19">
            <v>4.253852305821626</v>
          </cell>
          <cell r="AR19">
            <v>3.5262155151629719</v>
          </cell>
          <cell r="AS19">
            <v>2</v>
          </cell>
          <cell r="AT19" t="str">
            <v>CLAY and/or SILT</v>
          </cell>
          <cell r="AV19" t="str">
            <v>CPT</v>
          </cell>
          <cell r="AW19" t="str">
            <v>MH/CL</v>
          </cell>
          <cell r="AX19" t="str">
            <v>Stiff</v>
          </cell>
          <cell r="AY19">
            <v>1.7749999999999999</v>
          </cell>
          <cell r="AZ19" t="str">
            <v>Medium</v>
          </cell>
          <cell r="BA19">
            <v>6</v>
          </cell>
          <cell r="BB19">
            <v>0.20000004768371582</v>
          </cell>
          <cell r="BC19" t="str">
            <v>S.3Medium</v>
          </cell>
        </row>
        <row r="20">
          <cell r="A20" t="str">
            <v>S.3</v>
          </cell>
          <cell r="B20" t="str">
            <v>PASAR MODERN TIMUR</v>
          </cell>
          <cell r="C20" t="str">
            <v>BSD</v>
          </cell>
          <cell r="D20" t="str">
            <v>12.01.17</v>
          </cell>
          <cell r="E20" t="str">
            <v>Rohanda</v>
          </cell>
          <cell r="F20">
            <v>262.35700000000003</v>
          </cell>
          <cell r="G20">
            <v>422.97</v>
          </cell>
          <cell r="I20">
            <v>4.4000000953674316</v>
          </cell>
          <cell r="K20">
            <v>2.5999999046325684</v>
          </cell>
          <cell r="L20">
            <v>30</v>
          </cell>
          <cell r="M20">
            <v>40</v>
          </cell>
          <cell r="N20">
            <v>10</v>
          </cell>
          <cell r="O20">
            <v>30</v>
          </cell>
          <cell r="P20">
            <v>0.66666666666666663</v>
          </cell>
          <cell r="Q20">
            <v>113.33332598209381</v>
          </cell>
          <cell r="R20">
            <v>2.2222222222222219</v>
          </cell>
          <cell r="S20" t="str">
            <v/>
          </cell>
          <cell r="T20">
            <v>-2.5999999046325684</v>
          </cell>
          <cell r="U20">
            <v>3</v>
          </cell>
          <cell r="V20">
            <v>6.6666666666666666E-2</v>
          </cell>
          <cell r="W20">
            <v>0</v>
          </cell>
          <cell r="Y20">
            <v>18</v>
          </cell>
          <cell r="Z20">
            <v>4.5299998223781592E-2</v>
          </cell>
          <cell r="AA20">
            <v>6</v>
          </cell>
          <cell r="AB20" t="str">
            <v>Sandy silt to clayey silt</v>
          </cell>
          <cell r="AC20">
            <v>65.225168159610661</v>
          </cell>
          <cell r="AD20">
            <v>2.2562922336139025E-2</v>
          </cell>
          <cell r="AE20">
            <v>5</v>
          </cell>
          <cell r="AF20" t="str">
            <v>Sand mixtures</v>
          </cell>
          <cell r="AG20">
            <v>4.5299998223781592E-2</v>
          </cell>
          <cell r="AH20">
            <v>2.2562922336139026</v>
          </cell>
          <cell r="AI20">
            <v>2.2839732765653249</v>
          </cell>
          <cell r="AJ20">
            <v>1.0202843831736464E-6</v>
          </cell>
          <cell r="AK20">
            <v>41365.800024867065</v>
          </cell>
          <cell r="AL20">
            <v>73.867500044405475</v>
          </cell>
          <cell r="AM20">
            <v>0</v>
          </cell>
          <cell r="AN20">
            <v>123116.93630121383</v>
          </cell>
          <cell r="AO20">
            <v>38263.963500512051</v>
          </cell>
          <cell r="AP20">
            <v>3000</v>
          </cell>
          <cell r="AQ20">
            <v>7.0099770237409285</v>
          </cell>
          <cell r="AR20">
            <v>4.2796145976510305</v>
          </cell>
          <cell r="AS20">
            <v>4</v>
          </cell>
          <cell r="AT20" t="str">
            <v>Sandy SILT to Silty SAND</v>
          </cell>
          <cell r="AV20" t="str">
            <v>CPT</v>
          </cell>
          <cell r="AW20" t="str">
            <v>ML/SM</v>
          </cell>
          <cell r="AX20" t="str">
            <v>Very Stiff 1</v>
          </cell>
          <cell r="AY20">
            <v>3.4</v>
          </cell>
          <cell r="AZ20" t="str">
            <v>Medium</v>
          </cell>
          <cell r="BA20">
            <v>6</v>
          </cell>
          <cell r="BB20">
            <v>0.19999980926513672</v>
          </cell>
          <cell r="BC20" t="str">
            <v>S.3Medium</v>
          </cell>
        </row>
        <row r="21">
          <cell r="A21" t="str">
            <v>S.3</v>
          </cell>
          <cell r="B21" t="str">
            <v>PASAR MODERN TIMUR</v>
          </cell>
          <cell r="C21" t="str">
            <v>BSD</v>
          </cell>
          <cell r="D21" t="str">
            <v>12.01.17</v>
          </cell>
          <cell r="E21" t="str">
            <v>Rohanda</v>
          </cell>
          <cell r="F21">
            <v>262.35700000000003</v>
          </cell>
          <cell r="G21">
            <v>422.97</v>
          </cell>
          <cell r="I21">
            <v>4.4000000953674316</v>
          </cell>
          <cell r="K21">
            <v>2.7999999523162842</v>
          </cell>
          <cell r="L21">
            <v>25</v>
          </cell>
          <cell r="M21">
            <v>33</v>
          </cell>
          <cell r="N21">
            <v>8</v>
          </cell>
          <cell r="O21">
            <v>25</v>
          </cell>
          <cell r="P21">
            <v>0.53333333333333333</v>
          </cell>
          <cell r="Q21">
            <v>123.99999519189198</v>
          </cell>
          <cell r="R21">
            <v>2.1333333333333333</v>
          </cell>
          <cell r="S21" t="str">
            <v/>
          </cell>
          <cell r="T21">
            <v>-2.7999999523162842</v>
          </cell>
          <cell r="U21">
            <v>2.5</v>
          </cell>
          <cell r="V21">
            <v>5.333333333333333E-2</v>
          </cell>
          <cell r="W21">
            <v>0</v>
          </cell>
          <cell r="Y21">
            <v>18</v>
          </cell>
          <cell r="Z21">
            <v>4.8899999082088474E-2</v>
          </cell>
          <cell r="AA21">
            <v>6</v>
          </cell>
          <cell r="AB21" t="str">
            <v>Sandy silt to clayey silt</v>
          </cell>
          <cell r="AC21">
            <v>50.12474533595077</v>
          </cell>
          <cell r="AD21">
            <v>2.1758938155669108E-2</v>
          </cell>
          <cell r="AE21">
            <v>5</v>
          </cell>
          <cell r="AF21" t="str">
            <v>Sand mixtures</v>
          </cell>
          <cell r="AG21">
            <v>4.8899999082088474E-2</v>
          </cell>
          <cell r="AH21">
            <v>2.1758938155669107</v>
          </cell>
          <cell r="AI21">
            <v>2.357742667500538</v>
          </cell>
          <cell r="AJ21">
            <v>6.0878268369059419E-7</v>
          </cell>
          <cell r="AK21">
            <v>34315.400012850761</v>
          </cell>
          <cell r="AL21">
            <v>61.277500022947777</v>
          </cell>
          <cell r="AM21">
            <v>0</v>
          </cell>
          <cell r="AN21">
            <v>66908.247393399768</v>
          </cell>
          <cell r="AO21">
            <v>34850.639870060179</v>
          </cell>
          <cell r="AP21">
            <v>2500</v>
          </cell>
          <cell r="AQ21">
            <v>6.0338354427966312</v>
          </cell>
          <cell r="AR21">
            <v>4.1433015926620484</v>
          </cell>
          <cell r="AS21">
            <v>4</v>
          </cell>
          <cell r="AT21" t="str">
            <v>Sandy SILT to Silty SAND</v>
          </cell>
          <cell r="AV21" t="str">
            <v>CPT</v>
          </cell>
          <cell r="AW21" t="str">
            <v>ML/SM</v>
          </cell>
          <cell r="AX21" t="str">
            <v>Stiff</v>
          </cell>
          <cell r="AY21">
            <v>1.7749999999999999</v>
          </cell>
          <cell r="AZ21" t="str">
            <v>Medium</v>
          </cell>
          <cell r="BA21">
            <v>6</v>
          </cell>
          <cell r="BB21">
            <v>0.20000004768371582</v>
          </cell>
          <cell r="BC21" t="str">
            <v>S.3Medium</v>
          </cell>
        </row>
        <row r="22">
          <cell r="A22" t="str">
            <v>S.3</v>
          </cell>
          <cell r="B22" t="str">
            <v>PASAR MODERN TIMUR</v>
          </cell>
          <cell r="C22" t="str">
            <v>BSD</v>
          </cell>
          <cell r="D22" t="str">
            <v>12.01.17</v>
          </cell>
          <cell r="E22" t="str">
            <v>Rohanda</v>
          </cell>
          <cell r="F22">
            <v>262.35700000000003</v>
          </cell>
          <cell r="G22">
            <v>422.97</v>
          </cell>
          <cell r="I22">
            <v>4.4000000953674316</v>
          </cell>
          <cell r="K22">
            <v>3</v>
          </cell>
          <cell r="L22">
            <v>38</v>
          </cell>
          <cell r="M22">
            <v>50</v>
          </cell>
          <cell r="N22">
            <v>12</v>
          </cell>
          <cell r="O22">
            <v>38</v>
          </cell>
          <cell r="P22">
            <v>0.8</v>
          </cell>
          <cell r="Q22">
            <v>139.99999900658923</v>
          </cell>
          <cell r="R22">
            <v>2.1052631578947367</v>
          </cell>
          <cell r="S22" t="str">
            <v/>
          </cell>
          <cell r="T22">
            <v>-3</v>
          </cell>
          <cell r="U22">
            <v>3.8</v>
          </cell>
          <cell r="V22">
            <v>0.08</v>
          </cell>
          <cell r="W22">
            <v>0</v>
          </cell>
          <cell r="Y22">
            <v>18</v>
          </cell>
          <cell r="Z22">
            <v>5.2499999940395357E-2</v>
          </cell>
          <cell r="AA22">
            <v>6</v>
          </cell>
          <cell r="AB22" t="str">
            <v>Sandy silt to clayey silt</v>
          </cell>
          <cell r="AC22">
            <v>71.380952463128395</v>
          </cell>
          <cell r="AD22">
            <v>2.1347565043022706E-2</v>
          </cell>
          <cell r="AE22">
            <v>5</v>
          </cell>
          <cell r="AF22" t="str">
            <v>Sand mixtures</v>
          </cell>
          <cell r="AG22">
            <v>5.2499999940395357E-2</v>
          </cell>
          <cell r="AH22">
            <v>2.1347565043022705</v>
          </cell>
          <cell r="AI22">
            <v>2.2390369250268676</v>
          </cell>
          <cell r="AJ22">
            <v>1.3974225525675326E-6</v>
          </cell>
          <cell r="AK22">
            <v>52465.000000834465</v>
          </cell>
          <cell r="AL22">
            <v>93.687500001490108</v>
          </cell>
          <cell r="AM22">
            <v>0</v>
          </cell>
          <cell r="AN22">
            <v>202040.0950717089</v>
          </cell>
          <cell r="AO22">
            <v>45846.185717646767</v>
          </cell>
          <cell r="AP22">
            <v>3800</v>
          </cell>
          <cell r="AQ22">
            <v>8.7103039011260126</v>
          </cell>
          <cell r="AR22">
            <v>4.3626491602764403</v>
          </cell>
          <cell r="AS22">
            <v>4</v>
          </cell>
          <cell r="AT22" t="str">
            <v>Sandy SILT to Silty SAND</v>
          </cell>
          <cell r="AV22" t="str">
            <v>CPT</v>
          </cell>
          <cell r="AW22" t="str">
            <v>ML/SM</v>
          </cell>
          <cell r="AX22" t="str">
            <v>Very Stiff 1</v>
          </cell>
          <cell r="AY22">
            <v>3.4</v>
          </cell>
          <cell r="AZ22" t="str">
            <v>Stiff</v>
          </cell>
          <cell r="BA22">
            <v>8</v>
          </cell>
          <cell r="BB22">
            <v>0.20000004768371582</v>
          </cell>
          <cell r="BC22" t="str">
            <v>S.3Stiff</v>
          </cell>
        </row>
        <row r="23">
          <cell r="A23" t="str">
            <v>S.3</v>
          </cell>
          <cell r="B23" t="str">
            <v>PASAR MODERN TIMUR</v>
          </cell>
          <cell r="C23" t="str">
            <v>BSD</v>
          </cell>
          <cell r="D23" t="str">
            <v>12.01.17</v>
          </cell>
          <cell r="E23" t="str">
            <v>Rohanda</v>
          </cell>
          <cell r="F23">
            <v>262.35700000000003</v>
          </cell>
          <cell r="G23">
            <v>422.97</v>
          </cell>
          <cell r="I23">
            <v>4.4000000953674316</v>
          </cell>
          <cell r="K23">
            <v>3.2000000476837158</v>
          </cell>
          <cell r="L23">
            <v>16</v>
          </cell>
          <cell r="M23">
            <v>28</v>
          </cell>
          <cell r="N23">
            <v>12</v>
          </cell>
          <cell r="O23">
            <v>16</v>
          </cell>
          <cell r="P23">
            <v>0.8</v>
          </cell>
          <cell r="Q23">
            <v>156.0000028212865</v>
          </cell>
          <cell r="R23">
            <v>5</v>
          </cell>
          <cell r="S23" t="str">
            <v/>
          </cell>
          <cell r="T23">
            <v>-3.2000000476837158</v>
          </cell>
          <cell r="U23">
            <v>1.6</v>
          </cell>
          <cell r="V23">
            <v>0.08</v>
          </cell>
          <cell r="W23">
            <v>0</v>
          </cell>
          <cell r="Y23">
            <v>17.5</v>
          </cell>
          <cell r="Z23">
            <v>5.6000000774860385E-2</v>
          </cell>
          <cell r="AA23">
            <v>3</v>
          </cell>
          <cell r="AB23" t="str">
            <v>Clay</v>
          </cell>
          <cell r="AC23">
            <v>27.571428176091647</v>
          </cell>
          <cell r="AD23">
            <v>5.1813471528593398E-2</v>
          </cell>
          <cell r="AE23">
            <v>3</v>
          </cell>
          <cell r="AF23" t="str">
            <v>Clays</v>
          </cell>
          <cell r="AG23">
            <v>5.6000000774860385E-2</v>
          </cell>
          <cell r="AH23">
            <v>5.18134715285934</v>
          </cell>
          <cell r="AI23">
            <v>2.803766061865272</v>
          </cell>
          <cell r="AJ23">
            <v>2.6825706701794021E-8</v>
          </cell>
          <cell r="AK23">
            <v>21615.999989151955</v>
          </cell>
          <cell r="AL23">
            <v>38.599999980628489</v>
          </cell>
          <cell r="AM23">
            <v>0</v>
          </cell>
          <cell r="AN23">
            <v>3267.139420212618</v>
          </cell>
          <cell r="AO23">
            <v>38619.788305510279</v>
          </cell>
          <cell r="AP23">
            <v>3200</v>
          </cell>
          <cell r="AQ23">
            <v>4.8205433298979923</v>
          </cell>
          <cell r="AR23">
            <v>3.3191279291619971</v>
          </cell>
          <cell r="AS23">
            <v>3</v>
          </cell>
          <cell r="AT23" t="str">
            <v>Clayey SILT and/or Silty CLAY</v>
          </cell>
          <cell r="AV23" t="str">
            <v>CPT</v>
          </cell>
          <cell r="AW23" t="str">
            <v>MH</v>
          </cell>
          <cell r="AX23" t="str">
            <v>Stiff</v>
          </cell>
          <cell r="AY23">
            <v>1.7749999999999999</v>
          </cell>
          <cell r="AZ23" t="str">
            <v>Medium</v>
          </cell>
          <cell r="BA23">
            <v>6</v>
          </cell>
          <cell r="BB23">
            <v>0.20000004768371582</v>
          </cell>
          <cell r="BC23" t="str">
            <v>S.3Medium</v>
          </cell>
        </row>
        <row r="24">
          <cell r="A24" t="str">
            <v>S.3</v>
          </cell>
          <cell r="B24" t="str">
            <v>PASAR MODERN TIMUR</v>
          </cell>
          <cell r="C24" t="str">
            <v>BSD</v>
          </cell>
          <cell r="D24" t="str">
            <v>12.01.17</v>
          </cell>
          <cell r="E24" t="str">
            <v>Rohanda</v>
          </cell>
          <cell r="F24">
            <v>262.35700000000003</v>
          </cell>
          <cell r="G24">
            <v>422.97</v>
          </cell>
          <cell r="I24">
            <v>4.4000000953674316</v>
          </cell>
          <cell r="K24">
            <v>3.4000000953674316</v>
          </cell>
          <cell r="L24">
            <v>58</v>
          </cell>
          <cell r="M24">
            <v>65</v>
          </cell>
          <cell r="N24">
            <v>7</v>
          </cell>
          <cell r="O24">
            <v>58</v>
          </cell>
          <cell r="P24">
            <v>0.46666666666666667</v>
          </cell>
          <cell r="Q24">
            <v>165.3333383798599</v>
          </cell>
          <cell r="R24">
            <v>0.8045977011494253</v>
          </cell>
          <cell r="S24" t="str">
            <v/>
          </cell>
          <cell r="T24">
            <v>-3.4000000953674316</v>
          </cell>
          <cell r="U24">
            <v>5.8</v>
          </cell>
          <cell r="V24">
            <v>4.6666666666666669E-2</v>
          </cell>
          <cell r="W24">
            <v>0</v>
          </cell>
          <cell r="Y24">
            <v>19</v>
          </cell>
          <cell r="Z24">
            <v>5.9800001680850985E-2</v>
          </cell>
          <cell r="AA24">
            <v>8</v>
          </cell>
          <cell r="AB24" t="str">
            <v>Sand to Silty sand</v>
          </cell>
          <cell r="AC24">
            <v>95.989963829002065</v>
          </cell>
          <cell r="AD24">
            <v>8.1297980349694515E-3</v>
          </cell>
          <cell r="AE24">
            <v>6</v>
          </cell>
          <cell r="AF24" t="str">
            <v>Sand</v>
          </cell>
          <cell r="AG24">
            <v>5.9800001680850985E-2</v>
          </cell>
          <cell r="AH24">
            <v>0.8129798034969451</v>
          </cell>
          <cell r="AI24">
            <v>1.8683019679357138</v>
          </cell>
          <cell r="AJ24">
            <v>1.8722421462822671E-5</v>
          </cell>
          <cell r="AK24">
            <v>43912.116062152229</v>
          </cell>
          <cell r="AL24">
            <v>0</v>
          </cell>
          <cell r="AM24">
            <v>39.404484108259474</v>
          </cell>
          <cell r="AN24">
            <v>0</v>
          </cell>
          <cell r="AO24">
            <v>47356.649986132979</v>
          </cell>
          <cell r="AP24">
            <v>23200</v>
          </cell>
          <cell r="AQ24">
            <v>11.490375189968647</v>
          </cell>
          <cell r="AR24">
            <v>5.0477028853361805</v>
          </cell>
          <cell r="AS24">
            <v>5</v>
          </cell>
          <cell r="AT24" t="str">
            <v>SAND to Sandy GRAVEL</v>
          </cell>
          <cell r="AV24" t="str">
            <v>CPT</v>
          </cell>
          <cell r="AW24" t="str">
            <v>S</v>
          </cell>
          <cell r="AX24" t="str">
            <v>Medium Dense 1</v>
          </cell>
          <cell r="AY24">
            <v>5</v>
          </cell>
          <cell r="AZ24" t="str">
            <v>Medium Dense 1</v>
          </cell>
          <cell r="BA24">
            <v>11</v>
          </cell>
          <cell r="BB24">
            <v>0.20000004768371582</v>
          </cell>
          <cell r="BC24" t="str">
            <v>S.3Medium Dense 1</v>
          </cell>
        </row>
        <row r="25">
          <cell r="A25" t="str">
            <v>S.3</v>
          </cell>
          <cell r="B25" t="str">
            <v>PASAR MODERN TIMUR</v>
          </cell>
          <cell r="C25" t="str">
            <v>BSD</v>
          </cell>
          <cell r="D25" t="str">
            <v>12.01.17</v>
          </cell>
          <cell r="E25" t="str">
            <v>Rohanda</v>
          </cell>
          <cell r="F25">
            <v>262.35700000000003</v>
          </cell>
          <cell r="G25">
            <v>422.97</v>
          </cell>
          <cell r="I25">
            <v>4.4000000953674316</v>
          </cell>
          <cell r="K25">
            <v>3.5999999046325684</v>
          </cell>
          <cell r="L25">
            <v>170</v>
          </cell>
          <cell r="M25">
            <v>185</v>
          </cell>
          <cell r="N25">
            <v>15</v>
          </cell>
          <cell r="O25">
            <v>170</v>
          </cell>
          <cell r="P25">
            <v>1</v>
          </cell>
          <cell r="Q25">
            <v>185.33331930637357</v>
          </cell>
          <cell r="R25">
            <v>0.58823529411764708</v>
          </cell>
          <cell r="S25" t="str">
            <v/>
          </cell>
          <cell r="T25">
            <v>-3.5999999046325684</v>
          </cell>
          <cell r="U25">
            <v>17</v>
          </cell>
          <cell r="V25">
            <v>0.1</v>
          </cell>
          <cell r="W25">
            <v>0</v>
          </cell>
          <cell r="Y25">
            <v>19.5</v>
          </cell>
          <cell r="Z25">
            <v>6.3699997961521149E-2</v>
          </cell>
          <cell r="AA25">
            <v>9</v>
          </cell>
          <cell r="AB25" t="str">
            <v>Sand</v>
          </cell>
          <cell r="AC25">
            <v>265.8759897020575</v>
          </cell>
          <cell r="AD25">
            <v>5.9044773644753492E-3</v>
          </cell>
          <cell r="AE25">
            <v>6</v>
          </cell>
          <cell r="AF25" t="str">
            <v>Sand</v>
          </cell>
          <cell r="AG25">
            <v>6.3699997961521149E-2</v>
          </cell>
          <cell r="AH25">
            <v>0.5904477364475349</v>
          </cell>
          <cell r="AI25">
            <v>1.4405333851675173</v>
          </cell>
          <cell r="AJ25">
            <v>3.7391983989394141E-4</v>
          </cell>
          <cell r="AK25">
            <v>75370.80588238909</v>
          </cell>
          <cell r="AL25">
            <v>0</v>
          </cell>
          <cell r="AM25">
            <v>44.271470314942064</v>
          </cell>
          <cell r="AN25">
            <v>0</v>
          </cell>
          <cell r="AO25">
            <v>139724.47501681745</v>
          </cell>
          <cell r="AP25">
            <v>918000</v>
          </cell>
          <cell r="AQ25">
            <v>29.118839100275761</v>
          </cell>
          <cell r="AR25">
            <v>5.8381448317556748</v>
          </cell>
          <cell r="AS25">
            <v>5</v>
          </cell>
          <cell r="AT25" t="str">
            <v>SAND to Sandy GRAVEL</v>
          </cell>
          <cell r="AV25" t="str">
            <v>CPT</v>
          </cell>
          <cell r="AW25" t="str">
            <v>S</v>
          </cell>
          <cell r="AX25" t="str">
            <v>Dense 2</v>
          </cell>
          <cell r="AY25">
            <v>18.333333333333332</v>
          </cell>
          <cell r="AZ25" t="str">
            <v>Medium Dense 2</v>
          </cell>
          <cell r="BA25">
            <v>29</v>
          </cell>
          <cell r="BB25">
            <v>0.19999980926513672</v>
          </cell>
          <cell r="BC25" t="str">
            <v>S.3Medium Dense 2</v>
          </cell>
        </row>
        <row r="26">
          <cell r="A26" t="str">
            <v>S.3</v>
          </cell>
          <cell r="B26" t="str">
            <v>PASAR MODERN TIMUR</v>
          </cell>
          <cell r="C26" t="str">
            <v>BSD</v>
          </cell>
          <cell r="D26" t="str">
            <v>12.01.17</v>
          </cell>
          <cell r="E26" t="str">
            <v>Rohanda</v>
          </cell>
          <cell r="F26">
            <v>262.35700000000003</v>
          </cell>
          <cell r="G26">
            <v>422.97</v>
          </cell>
          <cell r="I26">
            <v>4.4000000953674316</v>
          </cell>
          <cell r="K26">
            <v>3.7999999523162842</v>
          </cell>
          <cell r="L26">
            <v>200</v>
          </cell>
          <cell r="M26">
            <v>220</v>
          </cell>
          <cell r="N26">
            <v>20</v>
          </cell>
          <cell r="O26">
            <v>200</v>
          </cell>
          <cell r="P26">
            <v>1.3333333333333333</v>
          </cell>
          <cell r="Q26">
            <v>211.99999233086902</v>
          </cell>
          <cell r="R26">
            <v>0.66666666666666663</v>
          </cell>
          <cell r="S26" t="str">
            <v/>
          </cell>
          <cell r="T26">
            <v>-3.7999999523162842</v>
          </cell>
          <cell r="U26">
            <v>20</v>
          </cell>
          <cell r="V26">
            <v>0.13333333333333333</v>
          </cell>
          <cell r="W26">
            <v>0</v>
          </cell>
          <cell r="Y26">
            <v>19.5</v>
          </cell>
          <cell r="Z26">
            <v>6.759999889135361E-2</v>
          </cell>
          <cell r="AA26">
            <v>9</v>
          </cell>
          <cell r="AB26" t="str">
            <v>Sand</v>
          </cell>
          <cell r="AC26">
            <v>294.85799301777951</v>
          </cell>
          <cell r="AD26">
            <v>6.689276420597484E-3</v>
          </cell>
          <cell r="AE26">
            <v>6</v>
          </cell>
          <cell r="AF26" t="str">
            <v>Sand</v>
          </cell>
          <cell r="AG26">
            <v>6.759999889135361E-2</v>
          </cell>
          <cell r="AH26">
            <v>0.66892764205974842</v>
          </cell>
          <cell r="AI26">
            <v>1.4469249778245157</v>
          </cell>
          <cell r="AJ26">
            <v>3.5755929097058039E-4</v>
          </cell>
          <cell r="AK26">
            <v>89425.132192702382</v>
          </cell>
          <cell r="AL26">
            <v>0</v>
          </cell>
          <cell r="AM26">
            <v>44.7657419565287</v>
          </cell>
          <cell r="AN26">
            <v>0</v>
          </cell>
          <cell r="AO26">
            <v>164442.30000914633</v>
          </cell>
          <cell r="AP26">
            <v>1200000</v>
          </cell>
          <cell r="AQ26">
            <v>34.32690099551435</v>
          </cell>
          <cell r="AR26">
            <v>5.8263342801068729</v>
          </cell>
          <cell r="AS26">
            <v>5</v>
          </cell>
          <cell r="AT26" t="str">
            <v>SAND to Sandy GRAVEL</v>
          </cell>
          <cell r="AV26" t="str">
            <v>CPT</v>
          </cell>
          <cell r="AW26" t="str">
            <v>S</v>
          </cell>
          <cell r="AX26" t="str">
            <v>Very Dense</v>
          </cell>
          <cell r="AY26">
            <v>22.5</v>
          </cell>
          <cell r="AZ26" t="str">
            <v>Dense 1</v>
          </cell>
          <cell r="BA26">
            <v>32</v>
          </cell>
          <cell r="BB26">
            <v>0.20000004768371582</v>
          </cell>
          <cell r="BC26" t="str">
            <v>S.3Dense 1</v>
          </cell>
        </row>
        <row r="27">
          <cell r="A27" t="str">
            <v>S.3</v>
          </cell>
          <cell r="B27" t="str">
            <v>PASAR MODERN TIMUR</v>
          </cell>
          <cell r="C27" t="str">
            <v>BSD</v>
          </cell>
          <cell r="D27" t="str">
            <v>12.01.17</v>
          </cell>
          <cell r="E27" t="str">
            <v>Rohanda</v>
          </cell>
          <cell r="F27">
            <v>262.35700000000003</v>
          </cell>
          <cell r="G27">
            <v>422.97</v>
          </cell>
          <cell r="I27">
            <v>4.4000000953674316</v>
          </cell>
          <cell r="K27">
            <v>4</v>
          </cell>
          <cell r="L27">
            <v>195</v>
          </cell>
          <cell r="M27">
            <v>210</v>
          </cell>
          <cell r="N27">
            <v>15</v>
          </cell>
          <cell r="O27">
            <v>195</v>
          </cell>
          <cell r="P27">
            <v>1</v>
          </cell>
          <cell r="Q27">
            <v>231.9999970992406</v>
          </cell>
          <cell r="R27">
            <v>0.51282051282051277</v>
          </cell>
          <cell r="S27" t="str">
            <v/>
          </cell>
          <cell r="T27">
            <v>-4</v>
          </cell>
          <cell r="U27">
            <v>19.5</v>
          </cell>
          <cell r="V27">
            <v>0.1</v>
          </cell>
          <cell r="W27">
            <v>0</v>
          </cell>
          <cell r="Y27">
            <v>19.5</v>
          </cell>
          <cell r="Z27">
            <v>7.1499999821186072E-2</v>
          </cell>
          <cell r="AA27">
            <v>9</v>
          </cell>
          <cell r="AB27" t="str">
            <v>Sand</v>
          </cell>
          <cell r="AC27">
            <v>271.72727340933477</v>
          </cell>
          <cell r="AD27">
            <v>5.1470777465619901E-3</v>
          </cell>
          <cell r="AE27">
            <v>6</v>
          </cell>
          <cell r="AF27" t="str">
            <v>Sand</v>
          </cell>
          <cell r="AG27">
            <v>7.1499999821186072E-2</v>
          </cell>
          <cell r="AH27">
            <v>0.51470777465619899</v>
          </cell>
          <cell r="AI27">
            <v>1.3931350809289365</v>
          </cell>
          <cell r="AJ27">
            <v>5.2103794702278172E-4</v>
          </cell>
          <cell r="AK27">
            <v>81424.448415164123</v>
          </cell>
          <cell r="AL27">
            <v>0</v>
          </cell>
          <cell r="AM27">
            <v>44.375465540682953</v>
          </cell>
          <cell r="AN27">
            <v>0</v>
          </cell>
          <cell r="AO27">
            <v>160285.12500147521</v>
          </cell>
          <cell r="AP27">
            <v>1150500</v>
          </cell>
          <cell r="AQ27">
            <v>32.907345469130242</v>
          </cell>
          <cell r="AR27">
            <v>5.9257286548052264</v>
          </cell>
          <cell r="AS27">
            <v>5</v>
          </cell>
          <cell r="AT27" t="str">
            <v>SAND to Sandy GRAVEL</v>
          </cell>
          <cell r="AV27" t="str">
            <v>CPT</v>
          </cell>
          <cell r="AW27" t="str">
            <v>S</v>
          </cell>
          <cell r="AX27" t="str">
            <v>Dense 2</v>
          </cell>
          <cell r="AY27">
            <v>18.333333333333332</v>
          </cell>
          <cell r="AZ27" t="str">
            <v>Dense 1</v>
          </cell>
          <cell r="BA27">
            <v>32</v>
          </cell>
          <cell r="BB27">
            <v>0.20000004768371582</v>
          </cell>
          <cell r="BC27" t="str">
            <v>S.3Dense 1</v>
          </cell>
        </row>
        <row r="28">
          <cell r="A28" t="str">
            <v>S.3</v>
          </cell>
          <cell r="B28" t="str">
            <v>PASAR MODERN TIMUR</v>
          </cell>
          <cell r="C28" t="str">
            <v>BSD</v>
          </cell>
          <cell r="D28" t="str">
            <v>12.01.17</v>
          </cell>
          <cell r="E28" t="str">
            <v>Rohanda</v>
          </cell>
          <cell r="F28">
            <v>262.35700000000003</v>
          </cell>
          <cell r="G28">
            <v>422.97</v>
          </cell>
          <cell r="I28">
            <v>4.4000000953674316</v>
          </cell>
          <cell r="K28">
            <v>4.1999998092651367</v>
          </cell>
          <cell r="L28">
            <v>185</v>
          </cell>
          <cell r="M28">
            <v>200</v>
          </cell>
          <cell r="N28">
            <v>15</v>
          </cell>
          <cell r="O28">
            <v>185</v>
          </cell>
          <cell r="P28">
            <v>1</v>
          </cell>
          <cell r="Q28">
            <v>251.99997802575427</v>
          </cell>
          <cell r="R28">
            <v>0.54054054054054057</v>
          </cell>
          <cell r="S28" t="str">
            <v/>
          </cell>
          <cell r="T28">
            <v>-4.1999998092651367</v>
          </cell>
          <cell r="U28">
            <v>18.5</v>
          </cell>
          <cell r="V28">
            <v>0.1</v>
          </cell>
          <cell r="W28">
            <v>0</v>
          </cell>
          <cell r="Y28">
            <v>19.5</v>
          </cell>
          <cell r="Z28">
            <v>7.5399996101856243E-2</v>
          </cell>
          <cell r="AA28">
            <v>9</v>
          </cell>
          <cell r="AB28" t="str">
            <v>Sand</v>
          </cell>
          <cell r="AC28">
            <v>244.35810287057237</v>
          </cell>
          <cell r="AD28">
            <v>5.4275262409410642E-3</v>
          </cell>
          <cell r="AE28">
            <v>6</v>
          </cell>
          <cell r="AF28" t="str">
            <v>Sand</v>
          </cell>
          <cell r="AG28">
            <v>7.5399996101856243E-2</v>
          </cell>
          <cell r="AH28">
            <v>0.54275262409410641</v>
          </cell>
          <cell r="AI28">
            <v>1.4428897994714842</v>
          </cell>
          <cell r="AJ28">
            <v>3.6780278179664161E-4</v>
          </cell>
          <cell r="AK28">
            <v>82239.169689725997</v>
          </cell>
          <cell r="AL28">
            <v>0</v>
          </cell>
          <cell r="AM28">
            <v>43.868294192025303</v>
          </cell>
          <cell r="AN28">
            <v>0</v>
          </cell>
          <cell r="AO28">
            <v>152002.95003215969</v>
          </cell>
          <cell r="AP28">
            <v>1054500</v>
          </cell>
          <cell r="AQ28">
            <v>31.711799937190452</v>
          </cell>
          <cell r="AR28">
            <v>5.8337905879331275</v>
          </cell>
          <cell r="AS28">
            <v>5</v>
          </cell>
          <cell r="AT28" t="str">
            <v>SAND to Sandy GRAVEL</v>
          </cell>
          <cell r="AV28" t="str">
            <v>CPT</v>
          </cell>
          <cell r="AW28" t="str">
            <v>S</v>
          </cell>
          <cell r="AX28" t="str">
            <v>Dense 2</v>
          </cell>
          <cell r="AY28">
            <v>18.333333333333332</v>
          </cell>
          <cell r="AZ28" t="str">
            <v>Dense 1</v>
          </cell>
          <cell r="BA28">
            <v>32</v>
          </cell>
          <cell r="BB28">
            <v>0.19999980926513672</v>
          </cell>
          <cell r="BC28" t="str">
            <v>S.3Dense 1</v>
          </cell>
        </row>
        <row r="29">
          <cell r="A29" t="str">
            <v>S.3</v>
          </cell>
          <cell r="B29" t="str">
            <v>PASAR MODERN TIMUR</v>
          </cell>
          <cell r="C29" t="str">
            <v>BSD</v>
          </cell>
          <cell r="D29" t="str">
            <v>12.01.17</v>
          </cell>
          <cell r="E29" t="str">
            <v>Rohanda</v>
          </cell>
          <cell r="F29">
            <v>262.35700000000003</v>
          </cell>
          <cell r="G29">
            <v>422.97</v>
          </cell>
          <cell r="I29">
            <v>4.4000000953674316</v>
          </cell>
          <cell r="K29">
            <v>4.4000000953674316</v>
          </cell>
          <cell r="L29">
            <v>250</v>
          </cell>
          <cell r="M29">
            <v>0</v>
          </cell>
          <cell r="N29">
            <v>-250</v>
          </cell>
          <cell r="O29">
            <v>250</v>
          </cell>
          <cell r="P29">
            <v>1</v>
          </cell>
          <cell r="Q29">
            <v>272.00000663598377</v>
          </cell>
          <cell r="R29">
            <v>0.4</v>
          </cell>
          <cell r="S29" t="str">
            <v/>
          </cell>
          <cell r="T29">
            <v>-4.4000000953674316</v>
          </cell>
          <cell r="U29">
            <v>25</v>
          </cell>
          <cell r="V29">
            <v>0.1</v>
          </cell>
          <cell r="W29">
            <v>0</v>
          </cell>
          <cell r="Y29">
            <v>20</v>
          </cell>
          <cell r="Z29">
            <v>7.9400001823902139E-2</v>
          </cell>
          <cell r="AA29">
            <v>10</v>
          </cell>
          <cell r="AB29" t="str">
            <v>Gravelly sand to sand</v>
          </cell>
          <cell r="AC29">
            <v>313.8614537244776</v>
          </cell>
          <cell r="AD29">
            <v>4.0127444767509152E-3</v>
          </cell>
          <cell r="AE29">
            <v>7</v>
          </cell>
          <cell r="AF29" t="str">
            <v>Gravelly sand to sand</v>
          </cell>
          <cell r="AG29">
            <v>7.9400001823902139E-2</v>
          </cell>
          <cell r="AH29">
            <v>0.40127444767509152</v>
          </cell>
          <cell r="AI29">
            <v>1.274870530282918</v>
          </cell>
          <cell r="AJ29">
            <v>1.1923220839384523E-3</v>
          </cell>
          <cell r="AK29">
            <v>89914.253935670989</v>
          </cell>
          <cell r="AL29">
            <v>0</v>
          </cell>
          <cell r="AM29">
            <v>45.064117801500856</v>
          </cell>
          <cell r="AN29">
            <v>0</v>
          </cell>
          <cell r="AO29">
            <v>205594.94998495281</v>
          </cell>
          <cell r="AP29">
            <v>1750000</v>
          </cell>
          <cell r="AQ29">
            <v>40.688375860014347</v>
          </cell>
          <cell r="AR29">
            <v>6.1442609766511298</v>
          </cell>
          <cell r="AS29">
            <v>5</v>
          </cell>
          <cell r="AT29" t="str">
            <v>SAND to Sandy GRAVEL</v>
          </cell>
          <cell r="AV29" t="str">
            <v>CPT</v>
          </cell>
          <cell r="AW29" t="str">
            <v>S</v>
          </cell>
          <cell r="AX29" t="str">
            <v>Very Dense</v>
          </cell>
          <cell r="AY29">
            <v>22.5</v>
          </cell>
          <cell r="AZ29" t="str">
            <v>Dense 2</v>
          </cell>
          <cell r="BA29">
            <v>40</v>
          </cell>
          <cell r="BB29">
            <v>0.20000028610229492</v>
          </cell>
          <cell r="BC29" t="str">
            <v>S.3Dense 2</v>
          </cell>
        </row>
        <row r="30">
          <cell r="A30" t="str">
            <v>B-1</v>
          </cell>
          <cell r="B30" t="str">
            <v>Pasar Modern Timur, BSD</v>
          </cell>
          <cell r="C30" t="str">
            <v>Pasar Modern Timur, BSD</v>
          </cell>
          <cell r="H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MH</v>
          </cell>
          <cell r="O30" t="str">
            <v>lanau lempung</v>
          </cell>
          <cell r="T30">
            <v>0</v>
          </cell>
          <cell r="AQ30">
            <v>0</v>
          </cell>
          <cell r="AU30">
            <v>24</v>
          </cell>
          <cell r="AV30" t="str">
            <v>SPT</v>
          </cell>
          <cell r="AW30" t="str">
            <v>MH</v>
          </cell>
          <cell r="AX30" t="str">
            <v>Very Soft</v>
          </cell>
          <cell r="AY30" t="e">
            <v>#DIV/0!</v>
          </cell>
          <cell r="AZ30" t="str">
            <v>undefined</v>
          </cell>
          <cell r="BA30" t="e">
            <v>#DIV/0!</v>
          </cell>
          <cell r="BB30">
            <v>0</v>
          </cell>
          <cell r="BC30" t="str">
            <v>B-1undefined</v>
          </cell>
        </row>
        <row r="31">
          <cell r="A31" t="str">
            <v>B-1</v>
          </cell>
          <cell r="B31" t="str">
            <v>Pasar Modern Timur, BSD</v>
          </cell>
          <cell r="C31" t="str">
            <v>Pasar Modern Timur, BSD</v>
          </cell>
          <cell r="H31">
            <v>0</v>
          </cell>
          <cell r="K31">
            <v>2</v>
          </cell>
          <cell r="L31">
            <v>2</v>
          </cell>
          <cell r="M31">
            <v>6</v>
          </cell>
          <cell r="N31" t="str">
            <v>MH</v>
          </cell>
          <cell r="O31" t="str">
            <v>lanau lempung</v>
          </cell>
          <cell r="T31">
            <v>-2</v>
          </cell>
          <cell r="AQ31">
            <v>2</v>
          </cell>
          <cell r="AU31">
            <v>44</v>
          </cell>
          <cell r="AV31" t="str">
            <v>SPT</v>
          </cell>
          <cell r="AW31" t="str">
            <v>MH</v>
          </cell>
          <cell r="AX31" t="str">
            <v>Soft</v>
          </cell>
          <cell r="AY31">
            <v>2</v>
          </cell>
          <cell r="AZ31" t="str">
            <v>Soft</v>
          </cell>
          <cell r="BA31">
            <v>2</v>
          </cell>
          <cell r="BB31">
            <v>2</v>
          </cell>
          <cell r="BC31" t="str">
            <v>B-1Soft</v>
          </cell>
        </row>
        <row r="32">
          <cell r="A32" t="str">
            <v>B-1</v>
          </cell>
          <cell r="B32" t="str">
            <v>Pasar Modern Timur, BSD</v>
          </cell>
          <cell r="C32" t="str">
            <v>Pasar Modern Timur, BSD</v>
          </cell>
          <cell r="H32">
            <v>0</v>
          </cell>
          <cell r="K32">
            <v>3</v>
          </cell>
          <cell r="L32">
            <v>6</v>
          </cell>
          <cell r="M32">
            <v>7</v>
          </cell>
          <cell r="N32" t="str">
            <v>SM</v>
          </cell>
          <cell r="O32" t="str">
            <v>pasir lanau</v>
          </cell>
          <cell r="T32">
            <v>-3</v>
          </cell>
          <cell r="AQ32">
            <v>6</v>
          </cell>
          <cell r="AV32" t="str">
            <v>SPT</v>
          </cell>
          <cell r="AW32" t="str">
            <v>MH</v>
          </cell>
          <cell r="AX32" t="str">
            <v>Medium</v>
          </cell>
          <cell r="AY32">
            <v>6</v>
          </cell>
          <cell r="AZ32" t="str">
            <v>Medium</v>
          </cell>
          <cell r="BA32">
            <v>6</v>
          </cell>
          <cell r="BB32">
            <v>1</v>
          </cell>
          <cell r="BC32" t="str">
            <v>B-1Medium</v>
          </cell>
        </row>
        <row r="33">
          <cell r="A33" t="str">
            <v>B-1</v>
          </cell>
          <cell r="B33" t="str">
            <v>Pasar Modern Timur, BSD</v>
          </cell>
          <cell r="C33" t="str">
            <v>Pasar Modern Timur, BSD</v>
          </cell>
          <cell r="H33">
            <v>0</v>
          </cell>
          <cell r="K33">
            <v>4.5</v>
          </cell>
          <cell r="L33">
            <v>34</v>
          </cell>
          <cell r="M33">
            <v>8.6</v>
          </cell>
          <cell r="N33" t="str">
            <v>ML</v>
          </cell>
          <cell r="O33" t="str">
            <v>lanau pasir</v>
          </cell>
          <cell r="T33">
            <v>-4.5</v>
          </cell>
          <cell r="AQ33">
            <v>34</v>
          </cell>
          <cell r="AV33" t="str">
            <v>SPT</v>
          </cell>
          <cell r="AW33" t="str">
            <v>MH</v>
          </cell>
          <cell r="AX33" t="str">
            <v>Hard</v>
          </cell>
          <cell r="AY33">
            <v>41.6</v>
          </cell>
          <cell r="AZ33" t="str">
            <v>Hard</v>
          </cell>
          <cell r="BA33">
            <v>41</v>
          </cell>
          <cell r="BB33">
            <v>1.5</v>
          </cell>
          <cell r="BC33" t="str">
            <v>B-1Hard</v>
          </cell>
        </row>
        <row r="34">
          <cell r="A34" t="str">
            <v>B-1</v>
          </cell>
          <cell r="B34" t="str">
            <v>Pasar Modern Timur, BSD</v>
          </cell>
          <cell r="C34" t="str">
            <v>Pasar Modern Timur, BSD</v>
          </cell>
          <cell r="H34">
            <v>0</v>
          </cell>
          <cell r="K34">
            <v>6.5</v>
          </cell>
          <cell r="L34">
            <v>50</v>
          </cell>
          <cell r="M34">
            <v>10</v>
          </cell>
          <cell r="N34" t="str">
            <v>SM</v>
          </cell>
          <cell r="O34" t="str">
            <v>pasir lanau</v>
          </cell>
          <cell r="T34">
            <v>-6.5</v>
          </cell>
          <cell r="AQ34">
            <v>50</v>
          </cell>
          <cell r="AV34" t="str">
            <v>SPT</v>
          </cell>
          <cell r="AW34" t="str">
            <v>SM</v>
          </cell>
          <cell r="AX34" t="str">
            <v>Very Dense</v>
          </cell>
          <cell r="AY34">
            <v>50</v>
          </cell>
          <cell r="AZ34" t="str">
            <v>Very Dense</v>
          </cell>
          <cell r="BA34">
            <v>50</v>
          </cell>
          <cell r="BB34">
            <v>2</v>
          </cell>
          <cell r="BC34" t="str">
            <v>B-1Very Dense</v>
          </cell>
        </row>
        <row r="35">
          <cell r="A35" t="str">
            <v>B-1</v>
          </cell>
          <cell r="B35" t="str">
            <v>Pasar Modern Timur, BSD</v>
          </cell>
          <cell r="C35" t="str">
            <v>Pasar Modern Timur, BSD</v>
          </cell>
          <cell r="H35">
            <v>0</v>
          </cell>
          <cell r="K35">
            <v>8</v>
          </cell>
          <cell r="L35">
            <v>50</v>
          </cell>
          <cell r="M35">
            <v>11</v>
          </cell>
          <cell r="N35" t="str">
            <v>MH</v>
          </cell>
          <cell r="O35" t="str">
            <v>lanau lempung</v>
          </cell>
          <cell r="T35">
            <v>-8</v>
          </cell>
          <cell r="AQ35">
            <v>50</v>
          </cell>
          <cell r="AV35" t="str">
            <v>SPT</v>
          </cell>
          <cell r="AW35" t="str">
            <v>ML</v>
          </cell>
          <cell r="AX35" t="str">
            <v>Hard</v>
          </cell>
          <cell r="AY35">
            <v>41.6</v>
          </cell>
          <cell r="AZ35" t="str">
            <v>Hard</v>
          </cell>
          <cell r="BA35">
            <v>41</v>
          </cell>
          <cell r="BB35">
            <v>1.5</v>
          </cell>
          <cell r="BC35" t="str">
            <v>B-1Hard</v>
          </cell>
        </row>
        <row r="36">
          <cell r="A36" t="str">
            <v>B-1</v>
          </cell>
          <cell r="B36" t="str">
            <v>Pasar Modern Timur, BSD</v>
          </cell>
          <cell r="C36" t="str">
            <v>Pasar Modern Timur, BSD</v>
          </cell>
          <cell r="H36">
            <v>0</v>
          </cell>
          <cell r="K36">
            <v>9.5</v>
          </cell>
          <cell r="L36">
            <v>50</v>
          </cell>
          <cell r="M36">
            <v>17.5</v>
          </cell>
          <cell r="N36" t="str">
            <v>SM</v>
          </cell>
          <cell r="O36" t="str">
            <v>pasir lanau</v>
          </cell>
          <cell r="T36">
            <v>-9.5</v>
          </cell>
          <cell r="AQ36">
            <v>50</v>
          </cell>
          <cell r="AV36" t="str">
            <v>SPT</v>
          </cell>
          <cell r="AW36" t="str">
            <v>SM</v>
          </cell>
          <cell r="AX36" t="str">
            <v>Very Dense</v>
          </cell>
          <cell r="AY36">
            <v>50</v>
          </cell>
          <cell r="AZ36" t="str">
            <v>Very Dense</v>
          </cell>
          <cell r="BA36">
            <v>50</v>
          </cell>
          <cell r="BB36">
            <v>1.5</v>
          </cell>
          <cell r="BC36" t="str">
            <v>B-1Very Dense</v>
          </cell>
        </row>
        <row r="37">
          <cell r="A37" t="str">
            <v>B-1</v>
          </cell>
          <cell r="B37" t="str">
            <v>Pasar Modern Timur, BSD</v>
          </cell>
          <cell r="C37" t="str">
            <v>Pasar Modern Timur, BSD</v>
          </cell>
          <cell r="H37">
            <v>0</v>
          </cell>
          <cell r="K37">
            <v>11</v>
          </cell>
          <cell r="L37">
            <v>50</v>
          </cell>
          <cell r="M37">
            <v>18</v>
          </cell>
          <cell r="N37" t="str">
            <v>MH</v>
          </cell>
          <cell r="O37" t="str">
            <v>lanau lempung</v>
          </cell>
          <cell r="T37">
            <v>-11</v>
          </cell>
          <cell r="AQ37">
            <v>50</v>
          </cell>
          <cell r="AV37" t="str">
            <v>SPT</v>
          </cell>
          <cell r="AW37" t="str">
            <v>SM</v>
          </cell>
          <cell r="AX37" t="str">
            <v>Very Dense</v>
          </cell>
          <cell r="AY37">
            <v>50</v>
          </cell>
          <cell r="AZ37" t="str">
            <v>Very Dense</v>
          </cell>
          <cell r="BA37">
            <v>50</v>
          </cell>
          <cell r="BB37">
            <v>1.5</v>
          </cell>
          <cell r="BC37" t="str">
            <v>B-1Very Dense</v>
          </cell>
        </row>
        <row r="38">
          <cell r="A38" t="str">
            <v>B-1</v>
          </cell>
          <cell r="B38" t="str">
            <v>Pasar Modern Timur, BSD</v>
          </cell>
          <cell r="C38" t="str">
            <v>Pasar Modern Timur, BSD</v>
          </cell>
          <cell r="H38">
            <v>0</v>
          </cell>
          <cell r="K38">
            <v>12.5</v>
          </cell>
          <cell r="L38">
            <v>50</v>
          </cell>
          <cell r="M38">
            <v>21.5</v>
          </cell>
          <cell r="N38" t="str">
            <v>SM</v>
          </cell>
          <cell r="O38" t="str">
            <v>pasir lanau</v>
          </cell>
          <cell r="T38">
            <v>-12.5</v>
          </cell>
          <cell r="AQ38">
            <v>50</v>
          </cell>
          <cell r="AV38" t="str">
            <v>SPT</v>
          </cell>
          <cell r="AW38" t="str">
            <v>SM</v>
          </cell>
          <cell r="AX38" t="str">
            <v>Very Dense</v>
          </cell>
          <cell r="AY38">
            <v>50</v>
          </cell>
          <cell r="AZ38" t="str">
            <v>Very Dense</v>
          </cell>
          <cell r="BA38">
            <v>50</v>
          </cell>
          <cell r="BB38">
            <v>1.5</v>
          </cell>
          <cell r="BC38" t="str">
            <v>B-1Very Dense</v>
          </cell>
        </row>
        <row r="39">
          <cell r="A39" t="str">
            <v>B-1</v>
          </cell>
          <cell r="B39" t="str">
            <v>Pasar Modern Timur, BSD</v>
          </cell>
          <cell r="C39" t="str">
            <v>Pasar Modern Timur, BSD</v>
          </cell>
          <cell r="H39">
            <v>0</v>
          </cell>
          <cell r="K39">
            <v>14</v>
          </cell>
          <cell r="L39">
            <v>50</v>
          </cell>
          <cell r="M39">
            <v>30.45</v>
          </cell>
          <cell r="N39" t="str">
            <v>MH</v>
          </cell>
          <cell r="O39" t="str">
            <v>lanau lempung</v>
          </cell>
          <cell r="T39">
            <v>-14</v>
          </cell>
          <cell r="AQ39">
            <v>50</v>
          </cell>
          <cell r="AV39" t="str">
            <v>SPT</v>
          </cell>
          <cell r="AW39" t="str">
            <v>SM</v>
          </cell>
          <cell r="AX39" t="str">
            <v>Very Dense</v>
          </cell>
          <cell r="AY39">
            <v>50</v>
          </cell>
          <cell r="AZ39" t="str">
            <v>Very Dense</v>
          </cell>
          <cell r="BA39">
            <v>50</v>
          </cell>
          <cell r="BB39">
            <v>1.5</v>
          </cell>
          <cell r="BC39" t="str">
            <v>B-1Very Dense</v>
          </cell>
        </row>
        <row r="40">
          <cell r="A40" t="str">
            <v>B-1</v>
          </cell>
          <cell r="B40" t="str">
            <v>Pasar Modern Timur, BSD</v>
          </cell>
          <cell r="C40" t="str">
            <v>Pasar Modern Timur, BSD</v>
          </cell>
          <cell r="H40">
            <v>0</v>
          </cell>
          <cell r="K40">
            <v>15.5</v>
          </cell>
          <cell r="L40">
            <v>50</v>
          </cell>
          <cell r="T40">
            <v>-15.5</v>
          </cell>
          <cell r="AQ40">
            <v>50</v>
          </cell>
          <cell r="AV40" t="str">
            <v>SPT</v>
          </cell>
          <cell r="AW40" t="str">
            <v>SM</v>
          </cell>
          <cell r="AX40" t="str">
            <v>Very Dense</v>
          </cell>
          <cell r="AY40">
            <v>50</v>
          </cell>
          <cell r="AZ40" t="str">
            <v>Very Dense</v>
          </cell>
          <cell r="BA40">
            <v>50</v>
          </cell>
          <cell r="BB40">
            <v>1.5</v>
          </cell>
          <cell r="BC40" t="str">
            <v>B-1Very Dense</v>
          </cell>
        </row>
        <row r="41">
          <cell r="A41" t="str">
            <v>B-1</v>
          </cell>
          <cell r="B41" t="str">
            <v>Pasar Modern Timur, BSD</v>
          </cell>
          <cell r="C41" t="str">
            <v>Pasar Modern Timur, BSD</v>
          </cell>
          <cell r="H41">
            <v>0</v>
          </cell>
          <cell r="K41">
            <v>17</v>
          </cell>
          <cell r="L41">
            <v>29</v>
          </cell>
          <cell r="T41">
            <v>-17</v>
          </cell>
          <cell r="AQ41">
            <v>29</v>
          </cell>
          <cell r="AV41" t="str">
            <v>SPT</v>
          </cell>
          <cell r="AW41" t="str">
            <v>SM</v>
          </cell>
          <cell r="AX41" t="str">
            <v>Medium Dense 2</v>
          </cell>
          <cell r="AY41">
            <v>29</v>
          </cell>
          <cell r="AZ41" t="str">
            <v>Medium Dense 2</v>
          </cell>
          <cell r="BA41">
            <v>29</v>
          </cell>
          <cell r="BB41">
            <v>1.5</v>
          </cell>
          <cell r="BC41" t="str">
            <v>B-1Medium Dense 2</v>
          </cell>
        </row>
        <row r="42">
          <cell r="A42" t="str">
            <v>B-1</v>
          </cell>
          <cell r="B42" t="str">
            <v>Pasar Modern Timur, BSD</v>
          </cell>
          <cell r="C42" t="str">
            <v>Pasar Modern Timur, BSD</v>
          </cell>
          <cell r="H42">
            <v>0</v>
          </cell>
          <cell r="K42">
            <v>18.5</v>
          </cell>
          <cell r="L42">
            <v>29</v>
          </cell>
          <cell r="T42">
            <v>-18.5</v>
          </cell>
          <cell r="AQ42">
            <v>29</v>
          </cell>
          <cell r="AV42" t="str">
            <v>SPT</v>
          </cell>
          <cell r="AW42" t="str">
            <v>SM</v>
          </cell>
          <cell r="AX42" t="str">
            <v>Medium Dense 2</v>
          </cell>
          <cell r="AY42">
            <v>29</v>
          </cell>
          <cell r="AZ42" t="str">
            <v>Medium Dense 2</v>
          </cell>
          <cell r="BA42">
            <v>29</v>
          </cell>
          <cell r="BB42">
            <v>1.5</v>
          </cell>
          <cell r="BC42" t="str">
            <v>B-1Medium Dense 2</v>
          </cell>
        </row>
        <row r="43">
          <cell r="A43" t="str">
            <v>B-1</v>
          </cell>
          <cell r="B43" t="str">
            <v>Pasar Modern Timur, BSD</v>
          </cell>
          <cell r="C43" t="str">
            <v>Pasar Modern Timur, BSD</v>
          </cell>
          <cell r="H43">
            <v>0</v>
          </cell>
          <cell r="K43">
            <v>20</v>
          </cell>
          <cell r="L43">
            <v>37</v>
          </cell>
          <cell r="T43">
            <v>-20</v>
          </cell>
          <cell r="AQ43">
            <v>37</v>
          </cell>
          <cell r="AV43" t="str">
            <v>SPT</v>
          </cell>
          <cell r="AW43" t="str">
            <v>SM</v>
          </cell>
          <cell r="AX43" t="str">
            <v>Dense 1</v>
          </cell>
          <cell r="AY43">
            <v>37</v>
          </cell>
          <cell r="AZ43" t="str">
            <v>Dense 1</v>
          </cell>
          <cell r="BA43">
            <v>37</v>
          </cell>
          <cell r="BB43">
            <v>1.5</v>
          </cell>
          <cell r="BC43" t="str">
            <v>B-1Dense 1</v>
          </cell>
        </row>
        <row r="44">
          <cell r="A44" t="str">
            <v>B-1</v>
          </cell>
          <cell r="B44" t="str">
            <v>Pasar Modern Timur, BSD</v>
          </cell>
          <cell r="C44" t="str">
            <v>Pasar Modern Timur, BSD</v>
          </cell>
          <cell r="H44">
            <v>0</v>
          </cell>
          <cell r="K44">
            <v>21.5</v>
          </cell>
          <cell r="L44">
            <v>50</v>
          </cell>
          <cell r="T44">
            <v>-21.5</v>
          </cell>
          <cell r="AQ44">
            <v>50</v>
          </cell>
          <cell r="AV44" t="str">
            <v>SPT</v>
          </cell>
          <cell r="AW44" t="str">
            <v>MH</v>
          </cell>
          <cell r="AX44" t="str">
            <v>Hard</v>
          </cell>
          <cell r="AY44">
            <v>41.6</v>
          </cell>
          <cell r="AZ44" t="str">
            <v>Hard</v>
          </cell>
          <cell r="BA44">
            <v>41</v>
          </cell>
          <cell r="BB44">
            <v>1.5</v>
          </cell>
          <cell r="BC44" t="str">
            <v>B-1Hard</v>
          </cell>
        </row>
        <row r="45">
          <cell r="A45" t="str">
            <v>B-1</v>
          </cell>
          <cell r="B45" t="str">
            <v>Pasar Modern Timur, BSD</v>
          </cell>
          <cell r="C45" t="str">
            <v>Pasar Modern Timur, BSD</v>
          </cell>
          <cell r="H45">
            <v>0</v>
          </cell>
          <cell r="K45">
            <v>23</v>
          </cell>
          <cell r="L45">
            <v>20</v>
          </cell>
          <cell r="T45">
            <v>-23</v>
          </cell>
          <cell r="AQ45">
            <v>20</v>
          </cell>
          <cell r="AV45" t="str">
            <v>SPT</v>
          </cell>
          <cell r="AW45" t="str">
            <v>MH</v>
          </cell>
          <cell r="AX45" t="str">
            <v>Very Stiff 1</v>
          </cell>
          <cell r="AY45">
            <v>18.25</v>
          </cell>
          <cell r="AZ45" t="str">
            <v>Very Stiff 1</v>
          </cell>
          <cell r="BA45">
            <v>18</v>
          </cell>
          <cell r="BB45">
            <v>1.5</v>
          </cell>
          <cell r="BC45" t="str">
            <v>B-1Very Stiff 1</v>
          </cell>
        </row>
        <row r="46">
          <cell r="A46" t="str">
            <v>B-1</v>
          </cell>
          <cell r="B46" t="str">
            <v>Pasar Modern Timur, BSD</v>
          </cell>
          <cell r="C46" t="str">
            <v>Pasar Modern Timur, BSD</v>
          </cell>
          <cell r="H46">
            <v>0</v>
          </cell>
          <cell r="K46">
            <v>24.5</v>
          </cell>
          <cell r="L46">
            <v>15</v>
          </cell>
          <cell r="T46">
            <v>-24.5</v>
          </cell>
          <cell r="AQ46">
            <v>15</v>
          </cell>
          <cell r="AV46" t="str">
            <v>SPT</v>
          </cell>
          <cell r="AW46" t="str">
            <v>MH</v>
          </cell>
          <cell r="AX46" t="str">
            <v>Very Stiff 1</v>
          </cell>
          <cell r="AY46">
            <v>18.25</v>
          </cell>
          <cell r="AZ46" t="str">
            <v>Very Stiff 1</v>
          </cell>
          <cell r="BA46">
            <v>18</v>
          </cell>
          <cell r="BB46">
            <v>1.5</v>
          </cell>
          <cell r="BC46" t="str">
            <v>B-1Very Stiff 1</v>
          </cell>
        </row>
        <row r="47">
          <cell r="A47" t="str">
            <v>B-1</v>
          </cell>
          <cell r="B47" t="str">
            <v>Pasar Modern Timur, BSD</v>
          </cell>
          <cell r="C47" t="str">
            <v>Pasar Modern Timur, BSD</v>
          </cell>
          <cell r="H47">
            <v>0</v>
          </cell>
          <cell r="K47">
            <v>26</v>
          </cell>
          <cell r="L47">
            <v>19</v>
          </cell>
          <cell r="T47">
            <v>-26</v>
          </cell>
          <cell r="AQ47">
            <v>19</v>
          </cell>
          <cell r="AV47" t="str">
            <v>SPT</v>
          </cell>
          <cell r="AW47" t="str">
            <v>MH</v>
          </cell>
          <cell r="AX47" t="str">
            <v>Very Stiff 1</v>
          </cell>
          <cell r="AY47">
            <v>18.25</v>
          </cell>
          <cell r="AZ47" t="str">
            <v>Very Stiff 1</v>
          </cell>
          <cell r="BA47">
            <v>18</v>
          </cell>
          <cell r="BB47">
            <v>1.5</v>
          </cell>
          <cell r="BC47" t="str">
            <v>B-1Very Stiff 1</v>
          </cell>
        </row>
        <row r="48">
          <cell r="A48" t="str">
            <v>B-1</v>
          </cell>
          <cell r="B48" t="str">
            <v>Pasar Modern Timur, BSD</v>
          </cell>
          <cell r="C48" t="str">
            <v>Pasar Modern Timur, BSD</v>
          </cell>
          <cell r="H48">
            <v>0</v>
          </cell>
          <cell r="K48">
            <v>27.5</v>
          </cell>
          <cell r="L48">
            <v>19</v>
          </cell>
          <cell r="T48">
            <v>-27.5</v>
          </cell>
          <cell r="AQ48">
            <v>19</v>
          </cell>
          <cell r="AV48" t="str">
            <v>SPT</v>
          </cell>
          <cell r="AW48" t="str">
            <v>MH</v>
          </cell>
          <cell r="AX48" t="str">
            <v>Very Stiff 1</v>
          </cell>
          <cell r="AY48">
            <v>18.25</v>
          </cell>
          <cell r="AZ48" t="str">
            <v>Very Stiff 1</v>
          </cell>
          <cell r="BA48">
            <v>18</v>
          </cell>
          <cell r="BB48">
            <v>1.5</v>
          </cell>
          <cell r="BC48" t="str">
            <v>B-1Very Stiff 1</v>
          </cell>
        </row>
        <row r="49">
          <cell r="A49" t="str">
            <v>B-1</v>
          </cell>
          <cell r="B49" t="str">
            <v>Pasar Modern Timur, BSD</v>
          </cell>
          <cell r="C49" t="str">
            <v>Pasar Modern Timur, BSD</v>
          </cell>
          <cell r="H49">
            <v>0</v>
          </cell>
          <cell r="K49">
            <v>29</v>
          </cell>
          <cell r="L49">
            <v>32</v>
          </cell>
          <cell r="T49">
            <v>-29</v>
          </cell>
          <cell r="AQ49">
            <v>32</v>
          </cell>
          <cell r="AV49" t="str">
            <v>SPT</v>
          </cell>
          <cell r="AW49" t="str">
            <v>MH</v>
          </cell>
          <cell r="AX49" t="str">
            <v>Hard</v>
          </cell>
          <cell r="AY49">
            <v>41.6</v>
          </cell>
          <cell r="AZ49" t="str">
            <v>Hard</v>
          </cell>
          <cell r="BA49">
            <v>41</v>
          </cell>
          <cell r="BB49">
            <v>1.5</v>
          </cell>
          <cell r="BC49" t="str">
            <v>B-1Hard</v>
          </cell>
        </row>
        <row r="50">
          <cell r="A50" t="str">
            <v>B-1</v>
          </cell>
          <cell r="B50" t="str">
            <v>Pasar Modern Timur, BSD</v>
          </cell>
          <cell r="C50" t="str">
            <v>Pasar Modern Timur, BSD</v>
          </cell>
          <cell r="H50">
            <v>0</v>
          </cell>
          <cell r="K50">
            <v>30.45</v>
          </cell>
          <cell r="L50">
            <v>42</v>
          </cell>
          <cell r="T50">
            <v>-30.45</v>
          </cell>
          <cell r="AQ50">
            <v>42</v>
          </cell>
          <cell r="AV50" t="str">
            <v>SPT</v>
          </cell>
          <cell r="AW50" t="str">
            <v>MH</v>
          </cell>
          <cell r="AX50" t="str">
            <v>Hard</v>
          </cell>
          <cell r="AY50">
            <v>41.6</v>
          </cell>
          <cell r="AZ50" t="str">
            <v>Hard</v>
          </cell>
          <cell r="BA50">
            <v>41</v>
          </cell>
          <cell r="BB50">
            <v>1.4499999999999993</v>
          </cell>
          <cell r="BC50" t="str">
            <v>B-1Hard</v>
          </cell>
        </row>
        <row r="51">
          <cell r="A51" t="str">
            <v>B-2</v>
          </cell>
          <cell r="B51" t="str">
            <v>Pasar Modern Timur, BSD</v>
          </cell>
          <cell r="C51" t="str">
            <v>Pasar Modern Timur, BSD</v>
          </cell>
          <cell r="H51">
            <v>0</v>
          </cell>
          <cell r="K51">
            <v>0</v>
          </cell>
          <cell r="L51">
            <v>0</v>
          </cell>
          <cell r="M51">
            <v>0</v>
          </cell>
          <cell r="N51" t="str">
            <v>MH</v>
          </cell>
          <cell r="O51" t="str">
            <v>lanau lempung</v>
          </cell>
          <cell r="T51">
            <v>0</v>
          </cell>
          <cell r="AQ51">
            <v>0</v>
          </cell>
          <cell r="AU51">
            <v>45</v>
          </cell>
          <cell r="AV51" t="str">
            <v>SPT</v>
          </cell>
          <cell r="AW51" t="str">
            <v>MH</v>
          </cell>
          <cell r="AX51" t="str">
            <v>Very Soft</v>
          </cell>
          <cell r="AY51" t="e">
            <v>#DIV/0!</v>
          </cell>
          <cell r="AZ51" t="str">
            <v>undefined</v>
          </cell>
          <cell r="BA51" t="e">
            <v>#DIV/0!</v>
          </cell>
          <cell r="BB51">
            <v>0</v>
          </cell>
          <cell r="BC51" t="str">
            <v>B-2undefined</v>
          </cell>
        </row>
        <row r="52">
          <cell r="A52" t="str">
            <v>B-2</v>
          </cell>
          <cell r="B52" t="str">
            <v>Pasar Modern Timur, BSD</v>
          </cell>
          <cell r="C52" t="str">
            <v>Pasar Modern Timur, BSD</v>
          </cell>
          <cell r="H52">
            <v>0</v>
          </cell>
          <cell r="K52">
            <v>2</v>
          </cell>
          <cell r="L52">
            <v>4</v>
          </cell>
          <cell r="M52">
            <v>3</v>
          </cell>
          <cell r="N52" t="str">
            <v>MH</v>
          </cell>
          <cell r="O52" t="str">
            <v>lanau lempung</v>
          </cell>
          <cell r="T52">
            <v>-2</v>
          </cell>
          <cell r="AQ52">
            <v>4</v>
          </cell>
          <cell r="AU52">
            <v>65</v>
          </cell>
          <cell r="AV52" t="str">
            <v>SPT</v>
          </cell>
          <cell r="AW52" t="str">
            <v>MH</v>
          </cell>
          <cell r="AX52" t="str">
            <v>Medium</v>
          </cell>
          <cell r="AY52">
            <v>5.5</v>
          </cell>
          <cell r="AZ52" t="str">
            <v>Medium</v>
          </cell>
          <cell r="BA52">
            <v>5</v>
          </cell>
          <cell r="BB52">
            <v>2</v>
          </cell>
          <cell r="BC52" t="str">
            <v>B-2Medium</v>
          </cell>
        </row>
        <row r="53">
          <cell r="A53" t="str">
            <v>B-2</v>
          </cell>
          <cell r="B53" t="str">
            <v>Pasar Modern Timur, BSD</v>
          </cell>
          <cell r="C53" t="str">
            <v>Pasar Modern Timur, BSD</v>
          </cell>
          <cell r="H53">
            <v>0</v>
          </cell>
          <cell r="K53">
            <v>3.5</v>
          </cell>
          <cell r="L53">
            <v>7</v>
          </cell>
          <cell r="M53">
            <v>11.1</v>
          </cell>
          <cell r="N53" t="str">
            <v>ML</v>
          </cell>
          <cell r="O53" t="str">
            <v>lanau pasir</v>
          </cell>
          <cell r="T53">
            <v>-3.5</v>
          </cell>
          <cell r="AQ53">
            <v>7</v>
          </cell>
          <cell r="AV53" t="str">
            <v>SPT</v>
          </cell>
          <cell r="AW53" t="str">
            <v>ML</v>
          </cell>
          <cell r="AX53" t="str">
            <v>Medium</v>
          </cell>
          <cell r="AY53">
            <v>5.5</v>
          </cell>
          <cell r="AZ53" t="str">
            <v>Medium</v>
          </cell>
          <cell r="BA53">
            <v>5</v>
          </cell>
          <cell r="BB53">
            <v>1.5</v>
          </cell>
          <cell r="BC53" t="str">
            <v>B-2Medium</v>
          </cell>
        </row>
        <row r="54">
          <cell r="A54" t="str">
            <v>B-2</v>
          </cell>
          <cell r="B54" t="str">
            <v>Pasar Modern Timur, BSD</v>
          </cell>
          <cell r="C54" t="str">
            <v>Pasar Modern Timur, BSD</v>
          </cell>
          <cell r="H54">
            <v>0</v>
          </cell>
          <cell r="K54">
            <v>5</v>
          </cell>
          <cell r="L54">
            <v>50</v>
          </cell>
          <cell r="M54">
            <v>13.4</v>
          </cell>
          <cell r="N54" t="str">
            <v>SM</v>
          </cell>
          <cell r="O54" t="str">
            <v>pasir lanau</v>
          </cell>
          <cell r="T54">
            <v>-5</v>
          </cell>
          <cell r="AQ54">
            <v>50</v>
          </cell>
          <cell r="AV54" t="str">
            <v>SPT</v>
          </cell>
          <cell r="AW54" t="str">
            <v>ML</v>
          </cell>
          <cell r="AX54" t="str">
            <v>Hard</v>
          </cell>
          <cell r="AY54">
            <v>48</v>
          </cell>
          <cell r="AZ54" t="str">
            <v>Hard</v>
          </cell>
          <cell r="BA54">
            <v>48</v>
          </cell>
          <cell r="BB54">
            <v>1.5</v>
          </cell>
          <cell r="BC54" t="str">
            <v>B-2Hard</v>
          </cell>
        </row>
        <row r="55">
          <cell r="A55" t="str">
            <v>B-2</v>
          </cell>
          <cell r="B55" t="str">
            <v>Pasar Modern Timur, BSD</v>
          </cell>
          <cell r="C55" t="str">
            <v>Pasar Modern Timur, BSD</v>
          </cell>
          <cell r="H55">
            <v>0</v>
          </cell>
          <cell r="K55">
            <v>6.5</v>
          </cell>
          <cell r="L55">
            <v>50</v>
          </cell>
          <cell r="M55">
            <v>14.2</v>
          </cell>
          <cell r="N55" t="str">
            <v>ML</v>
          </cell>
          <cell r="O55" t="str">
            <v>lanau pasir</v>
          </cell>
          <cell r="T55">
            <v>-6.5</v>
          </cell>
          <cell r="AQ55">
            <v>50</v>
          </cell>
          <cell r="AV55" t="str">
            <v>SPT</v>
          </cell>
          <cell r="AW55" t="str">
            <v>ML</v>
          </cell>
          <cell r="AX55" t="str">
            <v>Hard</v>
          </cell>
          <cell r="AY55">
            <v>48</v>
          </cell>
          <cell r="AZ55" t="str">
            <v>Hard</v>
          </cell>
          <cell r="BA55">
            <v>48</v>
          </cell>
          <cell r="BB55">
            <v>1.5</v>
          </cell>
          <cell r="BC55" t="str">
            <v>B-2Hard</v>
          </cell>
        </row>
        <row r="56">
          <cell r="A56" t="str">
            <v>B-2</v>
          </cell>
          <cell r="B56" t="str">
            <v>Pasar Modern Timur, BSD</v>
          </cell>
          <cell r="C56" t="str">
            <v>Pasar Modern Timur, BSD</v>
          </cell>
          <cell r="H56">
            <v>0</v>
          </cell>
          <cell r="K56">
            <v>8</v>
          </cell>
          <cell r="L56">
            <v>50</v>
          </cell>
          <cell r="M56">
            <v>15.8</v>
          </cell>
          <cell r="N56" t="str">
            <v>ML</v>
          </cell>
          <cell r="O56" t="str">
            <v>lanau pasir</v>
          </cell>
          <cell r="T56">
            <v>-8</v>
          </cell>
          <cell r="AQ56">
            <v>50</v>
          </cell>
          <cell r="AV56" t="str">
            <v>SPT</v>
          </cell>
          <cell r="AW56" t="str">
            <v>ML</v>
          </cell>
          <cell r="AX56" t="str">
            <v>Hard</v>
          </cell>
          <cell r="AY56">
            <v>48</v>
          </cell>
          <cell r="AZ56" t="str">
            <v>Hard</v>
          </cell>
          <cell r="BA56">
            <v>48</v>
          </cell>
          <cell r="BB56">
            <v>1.5</v>
          </cell>
          <cell r="BC56" t="str">
            <v>B-2Hard</v>
          </cell>
        </row>
        <row r="57">
          <cell r="A57" t="str">
            <v>B-2</v>
          </cell>
          <cell r="B57" t="str">
            <v>Pasar Modern Timur, BSD</v>
          </cell>
          <cell r="C57" t="str">
            <v>Pasar Modern Timur, BSD</v>
          </cell>
          <cell r="H57">
            <v>0</v>
          </cell>
          <cell r="K57">
            <v>9.5</v>
          </cell>
          <cell r="L57">
            <v>50</v>
          </cell>
          <cell r="M57">
            <v>17.7</v>
          </cell>
          <cell r="N57" t="str">
            <v>SM</v>
          </cell>
          <cell r="O57" t="str">
            <v>pasir lanau</v>
          </cell>
          <cell r="T57">
            <v>-9.5</v>
          </cell>
          <cell r="AQ57">
            <v>50</v>
          </cell>
          <cell r="AV57" t="str">
            <v>SPT</v>
          </cell>
          <cell r="AW57" t="str">
            <v>ML</v>
          </cell>
          <cell r="AX57" t="str">
            <v>Hard</v>
          </cell>
          <cell r="AY57">
            <v>48</v>
          </cell>
          <cell r="AZ57" t="str">
            <v>Hard</v>
          </cell>
          <cell r="BA57">
            <v>48</v>
          </cell>
          <cell r="BB57">
            <v>1.5</v>
          </cell>
          <cell r="BC57" t="str">
            <v>B-2Hard</v>
          </cell>
        </row>
        <row r="58">
          <cell r="A58" t="str">
            <v>B-2</v>
          </cell>
          <cell r="B58" t="str">
            <v>Pasar Modern Timur, BSD</v>
          </cell>
          <cell r="C58" t="str">
            <v>Pasar Modern Timur, BSD</v>
          </cell>
          <cell r="H58">
            <v>0</v>
          </cell>
          <cell r="K58">
            <v>11</v>
          </cell>
          <cell r="L58">
            <v>29</v>
          </cell>
          <cell r="M58">
            <v>19.399999999999999</v>
          </cell>
          <cell r="N58" t="str">
            <v>SM</v>
          </cell>
          <cell r="O58" t="str">
            <v>pasir lanau</v>
          </cell>
          <cell r="T58">
            <v>-11</v>
          </cell>
          <cell r="AQ58">
            <v>29</v>
          </cell>
          <cell r="AV58" t="str">
            <v>SPT</v>
          </cell>
          <cell r="AW58" t="str">
            <v>ML</v>
          </cell>
          <cell r="AX58" t="str">
            <v>Very Stiff 2</v>
          </cell>
          <cell r="AY58">
            <v>26</v>
          </cell>
          <cell r="AZ58" t="str">
            <v>Very Stiff 2</v>
          </cell>
          <cell r="BA58">
            <v>26</v>
          </cell>
          <cell r="BB58">
            <v>1.5</v>
          </cell>
          <cell r="BC58" t="str">
            <v>B-2Very Stiff 2</v>
          </cell>
        </row>
        <row r="59">
          <cell r="A59" t="str">
            <v>B-2</v>
          </cell>
          <cell r="B59" t="str">
            <v>Pasar Modern Timur, BSD</v>
          </cell>
          <cell r="C59" t="str">
            <v>Pasar Modern Timur, BSD</v>
          </cell>
          <cell r="H59">
            <v>0</v>
          </cell>
          <cell r="K59">
            <v>12.5</v>
          </cell>
          <cell r="L59">
            <v>50</v>
          </cell>
          <cell r="M59">
            <v>22</v>
          </cell>
          <cell r="N59" t="str">
            <v>MH</v>
          </cell>
          <cell r="O59" t="str">
            <v>lanau lempung</v>
          </cell>
          <cell r="T59">
            <v>-12.5</v>
          </cell>
          <cell r="AQ59">
            <v>50</v>
          </cell>
          <cell r="AV59" t="str">
            <v>SPT</v>
          </cell>
          <cell r="AW59" t="str">
            <v>SM</v>
          </cell>
          <cell r="AX59" t="str">
            <v>Very Dense</v>
          </cell>
          <cell r="AY59">
            <v>50</v>
          </cell>
          <cell r="AZ59" t="str">
            <v>Very Dense</v>
          </cell>
          <cell r="BA59">
            <v>50</v>
          </cell>
          <cell r="BB59">
            <v>1.5</v>
          </cell>
          <cell r="BC59" t="str">
            <v>B-2Very Dense</v>
          </cell>
        </row>
        <row r="60">
          <cell r="A60" t="str">
            <v>B-2</v>
          </cell>
          <cell r="B60" t="str">
            <v>Pasar Modern Timur, BSD</v>
          </cell>
          <cell r="C60" t="str">
            <v>Pasar Modern Timur, BSD</v>
          </cell>
          <cell r="H60">
            <v>0</v>
          </cell>
          <cell r="K60">
            <v>14</v>
          </cell>
          <cell r="L60">
            <v>40</v>
          </cell>
          <cell r="M60">
            <v>23</v>
          </cell>
          <cell r="N60" t="str">
            <v>MH</v>
          </cell>
          <cell r="O60" t="str">
            <v>lanau lempung</v>
          </cell>
          <cell r="T60">
            <v>-14</v>
          </cell>
          <cell r="AQ60">
            <v>40</v>
          </cell>
          <cell r="AV60" t="str">
            <v>SPT</v>
          </cell>
          <cell r="AW60" t="str">
            <v>ML</v>
          </cell>
          <cell r="AX60" t="str">
            <v>Hard</v>
          </cell>
          <cell r="AY60">
            <v>48</v>
          </cell>
          <cell r="AZ60" t="str">
            <v>Hard</v>
          </cell>
          <cell r="BA60">
            <v>48</v>
          </cell>
          <cell r="BB60">
            <v>1.5</v>
          </cell>
          <cell r="BC60" t="str">
            <v>B-2Hard</v>
          </cell>
        </row>
        <row r="61">
          <cell r="A61" t="str">
            <v>B-2</v>
          </cell>
          <cell r="B61" t="str">
            <v>Pasar Modern Timur, BSD</v>
          </cell>
          <cell r="C61" t="str">
            <v>Pasar Modern Timur, BSD</v>
          </cell>
          <cell r="H61">
            <v>0</v>
          </cell>
          <cell r="K61">
            <v>15.5</v>
          </cell>
          <cell r="L61">
            <v>10</v>
          </cell>
          <cell r="M61">
            <v>24</v>
          </cell>
          <cell r="N61" t="str">
            <v>MH</v>
          </cell>
          <cell r="O61" t="str">
            <v>lanau lempung</v>
          </cell>
          <cell r="T61">
            <v>-15.5</v>
          </cell>
          <cell r="AQ61">
            <v>10</v>
          </cell>
          <cell r="AV61" t="str">
            <v>SPT</v>
          </cell>
          <cell r="AW61" t="str">
            <v>ML</v>
          </cell>
          <cell r="AX61" t="str">
            <v>Stiff</v>
          </cell>
          <cell r="AY61">
            <v>11.333333333333334</v>
          </cell>
          <cell r="AZ61" t="str">
            <v>Stiff</v>
          </cell>
          <cell r="BA61">
            <v>11</v>
          </cell>
          <cell r="BB61">
            <v>1.5</v>
          </cell>
          <cell r="BC61" t="str">
            <v>B-2Stiff</v>
          </cell>
        </row>
        <row r="62">
          <cell r="A62" t="str">
            <v>B-2</v>
          </cell>
          <cell r="B62" t="str">
            <v>Pasar Modern Timur, BSD</v>
          </cell>
          <cell r="C62" t="str">
            <v>Pasar Modern Timur, BSD</v>
          </cell>
          <cell r="H62">
            <v>0</v>
          </cell>
          <cell r="K62">
            <v>17</v>
          </cell>
          <cell r="L62">
            <v>50</v>
          </cell>
          <cell r="M62">
            <v>28.8</v>
          </cell>
          <cell r="N62" t="str">
            <v>ML</v>
          </cell>
          <cell r="O62" t="str">
            <v>lanau pasir</v>
          </cell>
          <cell r="T62">
            <v>-17</v>
          </cell>
          <cell r="AQ62">
            <v>50</v>
          </cell>
          <cell r="AV62" t="str">
            <v>SPT</v>
          </cell>
          <cell r="AW62" t="str">
            <v>SM</v>
          </cell>
          <cell r="AX62" t="str">
            <v>Very Dense</v>
          </cell>
          <cell r="AY62">
            <v>50</v>
          </cell>
          <cell r="AZ62" t="str">
            <v>Very Dense</v>
          </cell>
          <cell r="BA62">
            <v>50</v>
          </cell>
          <cell r="BB62">
            <v>1.5</v>
          </cell>
          <cell r="BC62" t="str">
            <v>B-2Very Dense</v>
          </cell>
        </row>
        <row r="63">
          <cell r="A63" t="str">
            <v>B-2</v>
          </cell>
          <cell r="B63" t="str">
            <v>Pasar Modern Timur, BSD</v>
          </cell>
          <cell r="C63" t="str">
            <v>Pasar Modern Timur, BSD</v>
          </cell>
          <cell r="H63">
            <v>0</v>
          </cell>
          <cell r="K63">
            <v>18.5</v>
          </cell>
          <cell r="L63">
            <v>17</v>
          </cell>
          <cell r="M63">
            <v>30.45</v>
          </cell>
          <cell r="N63" t="str">
            <v>SM</v>
          </cell>
          <cell r="O63" t="str">
            <v>pasir lanau</v>
          </cell>
          <cell r="T63">
            <v>-18.5</v>
          </cell>
          <cell r="AQ63">
            <v>17</v>
          </cell>
          <cell r="AV63" t="str">
            <v>SPT</v>
          </cell>
          <cell r="AW63" t="str">
            <v>SM</v>
          </cell>
          <cell r="AX63" t="str">
            <v>Medium Dense 1</v>
          </cell>
          <cell r="AY63">
            <v>17</v>
          </cell>
          <cell r="AZ63" t="str">
            <v>Medium Dense 1</v>
          </cell>
          <cell r="BA63">
            <v>17</v>
          </cell>
          <cell r="BB63">
            <v>1.5</v>
          </cell>
          <cell r="BC63" t="str">
            <v>B-2Medium Dense 1</v>
          </cell>
        </row>
        <row r="64">
          <cell r="A64" t="str">
            <v>B-2</v>
          </cell>
          <cell r="B64" t="str">
            <v>Pasar Modern Timur, BSD</v>
          </cell>
          <cell r="C64" t="str">
            <v>Pasar Modern Timur, BSD</v>
          </cell>
          <cell r="H64">
            <v>0</v>
          </cell>
          <cell r="K64">
            <v>20</v>
          </cell>
          <cell r="L64">
            <v>17</v>
          </cell>
          <cell r="T64">
            <v>-20</v>
          </cell>
          <cell r="AQ64">
            <v>17</v>
          </cell>
          <cell r="AV64" t="str">
            <v>SPT</v>
          </cell>
          <cell r="AW64" t="str">
            <v>MH</v>
          </cell>
          <cell r="AX64" t="str">
            <v>Very Stiff 1</v>
          </cell>
          <cell r="AY64">
            <v>16.666666666666668</v>
          </cell>
          <cell r="AZ64" t="str">
            <v>Very Stiff 1</v>
          </cell>
          <cell r="BA64">
            <v>16</v>
          </cell>
          <cell r="BB64">
            <v>1.5</v>
          </cell>
          <cell r="BC64" t="str">
            <v>B-2Very Stiff 1</v>
          </cell>
        </row>
        <row r="65">
          <cell r="A65" t="str">
            <v>B-2</v>
          </cell>
          <cell r="B65" t="str">
            <v>Pasar Modern Timur, BSD</v>
          </cell>
          <cell r="C65" t="str">
            <v>Pasar Modern Timur, BSD</v>
          </cell>
          <cell r="H65">
            <v>0</v>
          </cell>
          <cell r="K65">
            <v>21.5</v>
          </cell>
          <cell r="L65">
            <v>17</v>
          </cell>
          <cell r="T65">
            <v>-21.5</v>
          </cell>
          <cell r="AQ65">
            <v>17</v>
          </cell>
          <cell r="AV65" t="str">
            <v>SPT</v>
          </cell>
          <cell r="AW65" t="str">
            <v>MH</v>
          </cell>
          <cell r="AX65" t="str">
            <v>Very Stiff 1</v>
          </cell>
          <cell r="AY65">
            <v>16.666666666666668</v>
          </cell>
          <cell r="AZ65" t="str">
            <v>Very Stiff 1</v>
          </cell>
          <cell r="BA65">
            <v>16</v>
          </cell>
          <cell r="BB65">
            <v>1.5</v>
          </cell>
          <cell r="BC65" t="str">
            <v>B-2Very Stiff 1</v>
          </cell>
        </row>
        <row r="66">
          <cell r="A66" t="str">
            <v>B-2</v>
          </cell>
          <cell r="B66" t="str">
            <v>Pasar Modern Timur, BSD</v>
          </cell>
          <cell r="C66" t="str">
            <v>Pasar Modern Timur, BSD</v>
          </cell>
          <cell r="H66">
            <v>0</v>
          </cell>
          <cell r="K66">
            <v>23</v>
          </cell>
          <cell r="L66">
            <v>12</v>
          </cell>
          <cell r="T66">
            <v>-23</v>
          </cell>
          <cell r="AQ66">
            <v>12</v>
          </cell>
          <cell r="AV66" t="str">
            <v>SPT</v>
          </cell>
          <cell r="AW66" t="str">
            <v>MH</v>
          </cell>
          <cell r="AX66" t="str">
            <v>Stiff</v>
          </cell>
          <cell r="AY66">
            <v>11.333333333333334</v>
          </cell>
          <cell r="AZ66" t="str">
            <v>Stiff</v>
          </cell>
          <cell r="BA66">
            <v>11</v>
          </cell>
          <cell r="BB66">
            <v>1.5</v>
          </cell>
          <cell r="BC66" t="str">
            <v>B-2Stiff</v>
          </cell>
        </row>
        <row r="67">
          <cell r="A67" t="str">
            <v>B-2</v>
          </cell>
          <cell r="B67" t="str">
            <v>Pasar Modern Timur, BSD</v>
          </cell>
          <cell r="C67" t="str">
            <v>Pasar Modern Timur, BSD</v>
          </cell>
          <cell r="H67">
            <v>0</v>
          </cell>
          <cell r="K67">
            <v>24.5</v>
          </cell>
          <cell r="L67">
            <v>12</v>
          </cell>
          <cell r="T67">
            <v>-24.5</v>
          </cell>
          <cell r="AQ67">
            <v>12</v>
          </cell>
          <cell r="AV67" t="str">
            <v>SPT</v>
          </cell>
          <cell r="AW67" t="str">
            <v>ML</v>
          </cell>
          <cell r="AX67" t="str">
            <v>Stiff</v>
          </cell>
          <cell r="AY67">
            <v>11.333333333333334</v>
          </cell>
          <cell r="AZ67" t="str">
            <v>Stiff</v>
          </cell>
          <cell r="BA67">
            <v>11</v>
          </cell>
          <cell r="BB67">
            <v>1.5</v>
          </cell>
          <cell r="BC67" t="str">
            <v>B-2Stiff</v>
          </cell>
        </row>
        <row r="68">
          <cell r="A68" t="str">
            <v>B-2</v>
          </cell>
          <cell r="B68" t="str">
            <v>Pasar Modern Timur, BSD</v>
          </cell>
          <cell r="C68" t="str">
            <v>Pasar Modern Timur, BSD</v>
          </cell>
          <cell r="H68">
            <v>0</v>
          </cell>
          <cell r="K68">
            <v>26</v>
          </cell>
          <cell r="L68">
            <v>16</v>
          </cell>
          <cell r="T68">
            <v>-26</v>
          </cell>
          <cell r="AQ68">
            <v>16</v>
          </cell>
          <cell r="AV68" t="str">
            <v>SPT</v>
          </cell>
          <cell r="AW68" t="str">
            <v>ML</v>
          </cell>
          <cell r="AX68" t="str">
            <v>Very Stiff 1</v>
          </cell>
          <cell r="AY68">
            <v>16.666666666666668</v>
          </cell>
          <cell r="AZ68" t="str">
            <v>Very Stiff 1</v>
          </cell>
          <cell r="BA68">
            <v>16</v>
          </cell>
          <cell r="BB68">
            <v>1.5</v>
          </cell>
          <cell r="BC68" t="str">
            <v>B-2Very Stiff 1</v>
          </cell>
        </row>
        <row r="69">
          <cell r="A69" t="str">
            <v>B-2</v>
          </cell>
          <cell r="B69" t="str">
            <v>Pasar Modern Timur, BSD</v>
          </cell>
          <cell r="C69" t="str">
            <v>Pasar Modern Timur, BSD</v>
          </cell>
          <cell r="H69">
            <v>0</v>
          </cell>
          <cell r="K69">
            <v>27.5</v>
          </cell>
          <cell r="L69">
            <v>23</v>
          </cell>
          <cell r="T69">
            <v>-27.5</v>
          </cell>
          <cell r="AQ69">
            <v>23</v>
          </cell>
          <cell r="AV69" t="str">
            <v>SPT</v>
          </cell>
          <cell r="AW69" t="str">
            <v>ML</v>
          </cell>
          <cell r="AX69" t="str">
            <v>Very Stiff 2</v>
          </cell>
          <cell r="AY69">
            <v>26</v>
          </cell>
          <cell r="AZ69" t="str">
            <v>Very Stiff 2</v>
          </cell>
          <cell r="BA69">
            <v>26</v>
          </cell>
          <cell r="BB69">
            <v>1.5</v>
          </cell>
          <cell r="BC69" t="str">
            <v>B-2Very Stiff 2</v>
          </cell>
        </row>
        <row r="70">
          <cell r="A70" t="str">
            <v>B-2</v>
          </cell>
          <cell r="B70" t="str">
            <v>Pasar Modern Timur, BSD</v>
          </cell>
          <cell r="C70" t="str">
            <v>Pasar Modern Timur, BSD</v>
          </cell>
          <cell r="H70">
            <v>0</v>
          </cell>
          <cell r="K70">
            <v>29</v>
          </cell>
          <cell r="L70">
            <v>23</v>
          </cell>
          <cell r="T70">
            <v>-29</v>
          </cell>
          <cell r="AQ70">
            <v>23</v>
          </cell>
          <cell r="AV70" t="str">
            <v>SPT</v>
          </cell>
          <cell r="AW70" t="str">
            <v>SM</v>
          </cell>
          <cell r="AX70" t="str">
            <v>Medium Dense 2</v>
          </cell>
          <cell r="AY70">
            <v>23</v>
          </cell>
          <cell r="AZ70" t="str">
            <v>Medium Dense 2</v>
          </cell>
          <cell r="BA70">
            <v>23</v>
          </cell>
          <cell r="BB70">
            <v>1.5</v>
          </cell>
          <cell r="BC70" t="str">
            <v>B-2Medium Dense 2</v>
          </cell>
        </row>
        <row r="71">
          <cell r="A71" t="str">
            <v>B-2</v>
          </cell>
          <cell r="B71" t="str">
            <v>Pasar Modern Timur, BSD</v>
          </cell>
          <cell r="C71" t="str">
            <v>Pasar Modern Timur, BSD</v>
          </cell>
          <cell r="H71">
            <v>0</v>
          </cell>
          <cell r="K71">
            <v>30.45</v>
          </cell>
          <cell r="L71">
            <v>30</v>
          </cell>
          <cell r="T71">
            <v>-30.45</v>
          </cell>
          <cell r="AQ71">
            <v>30</v>
          </cell>
          <cell r="AV71" t="str">
            <v>SPT</v>
          </cell>
          <cell r="AW71" t="str">
            <v>SM</v>
          </cell>
          <cell r="AX71" t="str">
            <v>Dense 1</v>
          </cell>
          <cell r="AY71">
            <v>30</v>
          </cell>
          <cell r="AZ71" t="str">
            <v>Dense 1</v>
          </cell>
          <cell r="BA71">
            <v>30</v>
          </cell>
          <cell r="BB71">
            <v>1.4499999999999993</v>
          </cell>
          <cell r="BC71" t="str">
            <v>B-2Dense 1</v>
          </cell>
        </row>
        <row r="72">
          <cell r="A72" t="str">
            <v>B-3</v>
          </cell>
          <cell r="B72" t="str">
            <v>Pasar Modern Timur, BSD</v>
          </cell>
          <cell r="C72" t="str">
            <v>Pasar Modern Timur, BSD</v>
          </cell>
          <cell r="H72">
            <v>0</v>
          </cell>
          <cell r="K72">
            <v>0</v>
          </cell>
          <cell r="L72">
            <v>0</v>
          </cell>
          <cell r="M72">
            <v>0</v>
          </cell>
          <cell r="N72" t="str">
            <v>ML</v>
          </cell>
          <cell r="O72" t="str">
            <v>lanau pasir</v>
          </cell>
          <cell r="T72">
            <v>0</v>
          </cell>
          <cell r="AQ72">
            <v>0</v>
          </cell>
          <cell r="AU72">
            <v>66</v>
          </cell>
          <cell r="AV72" t="str">
            <v>SPT</v>
          </cell>
          <cell r="AW72" t="str">
            <v>ML</v>
          </cell>
          <cell r="AX72" t="str">
            <v>Very Soft</v>
          </cell>
          <cell r="AY72" t="e">
            <v>#DIV/0!</v>
          </cell>
          <cell r="AZ72" t="str">
            <v>undefined</v>
          </cell>
          <cell r="BA72" t="e">
            <v>#DIV/0!</v>
          </cell>
          <cell r="BB72">
            <v>0</v>
          </cell>
          <cell r="BC72" t="str">
            <v>B-3undefined</v>
          </cell>
        </row>
        <row r="73">
          <cell r="A73" t="str">
            <v>B-3</v>
          </cell>
          <cell r="B73" t="str">
            <v>Pasar Modern Timur, BSD</v>
          </cell>
          <cell r="C73" t="str">
            <v>Pasar Modern Timur, BSD</v>
          </cell>
          <cell r="H73">
            <v>0</v>
          </cell>
          <cell r="K73">
            <v>2</v>
          </cell>
          <cell r="L73">
            <v>4</v>
          </cell>
          <cell r="M73">
            <v>5.2</v>
          </cell>
          <cell r="N73" t="str">
            <v>ML</v>
          </cell>
          <cell r="O73" t="str">
            <v>lanau pasir</v>
          </cell>
          <cell r="T73">
            <v>-2</v>
          </cell>
          <cell r="AQ73">
            <v>4</v>
          </cell>
          <cell r="AU73">
            <v>86</v>
          </cell>
          <cell r="AV73" t="str">
            <v>SPT</v>
          </cell>
          <cell r="AW73" t="str">
            <v>ML</v>
          </cell>
          <cell r="AX73" t="str">
            <v>Medium</v>
          </cell>
          <cell r="AY73">
            <v>5.666666666666667</v>
          </cell>
          <cell r="AZ73" t="str">
            <v>Medium</v>
          </cell>
          <cell r="BA73">
            <v>5</v>
          </cell>
          <cell r="BB73">
            <v>2</v>
          </cell>
          <cell r="BC73" t="str">
            <v>B-3Medium</v>
          </cell>
        </row>
        <row r="74">
          <cell r="A74" t="str">
            <v>B-3</v>
          </cell>
          <cell r="B74" t="str">
            <v>Pasar Modern Timur, BSD</v>
          </cell>
          <cell r="C74" t="str">
            <v>Pasar Modern Timur, BSD</v>
          </cell>
          <cell r="H74">
            <v>0</v>
          </cell>
          <cell r="K74">
            <v>3.5</v>
          </cell>
          <cell r="L74">
            <v>6</v>
          </cell>
          <cell r="M74">
            <v>6</v>
          </cell>
          <cell r="N74" t="str">
            <v>MH</v>
          </cell>
          <cell r="O74" t="str">
            <v>lanau lempung</v>
          </cell>
          <cell r="T74">
            <v>-3.5</v>
          </cell>
          <cell r="AQ74">
            <v>6</v>
          </cell>
          <cell r="AV74" t="str">
            <v>SPT</v>
          </cell>
          <cell r="AW74" t="str">
            <v>ML</v>
          </cell>
          <cell r="AX74" t="str">
            <v>Medium</v>
          </cell>
          <cell r="AY74">
            <v>5.666666666666667</v>
          </cell>
          <cell r="AZ74" t="str">
            <v>Medium</v>
          </cell>
          <cell r="BA74">
            <v>5</v>
          </cell>
          <cell r="BB74">
            <v>1.5</v>
          </cell>
          <cell r="BC74" t="str">
            <v>B-3Medium</v>
          </cell>
        </row>
        <row r="75">
          <cell r="A75" t="str">
            <v>B-3</v>
          </cell>
          <cell r="B75" t="str">
            <v>Pasar Modern Timur, BSD</v>
          </cell>
          <cell r="C75" t="str">
            <v>Pasar Modern Timur, BSD</v>
          </cell>
          <cell r="H75">
            <v>0</v>
          </cell>
          <cell r="K75">
            <v>5</v>
          </cell>
          <cell r="L75">
            <v>7</v>
          </cell>
          <cell r="M75">
            <v>7.1</v>
          </cell>
          <cell r="N75" t="str">
            <v>SM</v>
          </cell>
          <cell r="O75" t="str">
            <v>pasir lanau</v>
          </cell>
          <cell r="T75">
            <v>-5</v>
          </cell>
          <cell r="AQ75">
            <v>7</v>
          </cell>
          <cell r="AV75" t="str">
            <v>SPT</v>
          </cell>
          <cell r="AW75" t="str">
            <v>ML</v>
          </cell>
          <cell r="AX75" t="str">
            <v>Medium</v>
          </cell>
          <cell r="AY75">
            <v>5.666666666666667</v>
          </cell>
          <cell r="AZ75" t="str">
            <v>Medium</v>
          </cell>
          <cell r="BA75">
            <v>5</v>
          </cell>
          <cell r="BB75">
            <v>1.5</v>
          </cell>
          <cell r="BC75" t="str">
            <v>B-3Medium</v>
          </cell>
        </row>
        <row r="76">
          <cell r="A76" t="str">
            <v>B-3</v>
          </cell>
          <cell r="B76" t="str">
            <v>Pasar Modern Timur, BSD</v>
          </cell>
          <cell r="C76" t="str">
            <v>Pasar Modern Timur, BSD</v>
          </cell>
          <cell r="H76">
            <v>0</v>
          </cell>
          <cell r="K76">
            <v>6.5</v>
          </cell>
          <cell r="L76">
            <v>50</v>
          </cell>
          <cell r="M76">
            <v>10.5</v>
          </cell>
          <cell r="N76" t="str">
            <v>ML</v>
          </cell>
          <cell r="O76" t="str">
            <v>lanau pasir</v>
          </cell>
          <cell r="T76">
            <v>-6.5</v>
          </cell>
          <cell r="AQ76">
            <v>50</v>
          </cell>
          <cell r="AV76" t="str">
            <v>SPT</v>
          </cell>
          <cell r="AW76" t="str">
            <v>SM</v>
          </cell>
          <cell r="AX76" t="str">
            <v>Very Dense</v>
          </cell>
          <cell r="AY76">
            <v>50</v>
          </cell>
          <cell r="AZ76" t="str">
            <v>Very Dense</v>
          </cell>
          <cell r="BA76">
            <v>50</v>
          </cell>
          <cell r="BB76">
            <v>1.5</v>
          </cell>
          <cell r="BC76" t="str">
            <v>B-3Very Dense</v>
          </cell>
        </row>
        <row r="77">
          <cell r="A77" t="str">
            <v>B-3</v>
          </cell>
          <cell r="B77" t="str">
            <v>Pasar Modern Timur, BSD</v>
          </cell>
          <cell r="C77" t="str">
            <v>Pasar Modern Timur, BSD</v>
          </cell>
          <cell r="H77">
            <v>0</v>
          </cell>
          <cell r="K77">
            <v>8</v>
          </cell>
          <cell r="L77">
            <v>40</v>
          </cell>
          <cell r="M77">
            <v>13</v>
          </cell>
          <cell r="N77" t="str">
            <v>SM</v>
          </cell>
          <cell r="O77" t="str">
            <v>pasir lanau</v>
          </cell>
          <cell r="T77">
            <v>-8</v>
          </cell>
          <cell r="AQ77">
            <v>40</v>
          </cell>
          <cell r="AV77" t="str">
            <v>SPT</v>
          </cell>
          <cell r="AW77" t="str">
            <v>ML</v>
          </cell>
          <cell r="AX77" t="str">
            <v>Hard</v>
          </cell>
          <cell r="AY77">
            <v>45</v>
          </cell>
          <cell r="AZ77" t="str">
            <v>Hard</v>
          </cell>
          <cell r="BA77">
            <v>45</v>
          </cell>
          <cell r="BB77">
            <v>1.5</v>
          </cell>
          <cell r="BC77" t="str">
            <v>B-3Hard</v>
          </cell>
        </row>
        <row r="78">
          <cell r="A78" t="str">
            <v>B-3</v>
          </cell>
          <cell r="B78" t="str">
            <v>Pasar Modern Timur, BSD</v>
          </cell>
          <cell r="C78" t="str">
            <v>Pasar Modern Timur, BSD</v>
          </cell>
          <cell r="H78">
            <v>0</v>
          </cell>
          <cell r="K78">
            <v>9.5</v>
          </cell>
          <cell r="L78">
            <v>50</v>
          </cell>
          <cell r="M78">
            <v>14</v>
          </cell>
          <cell r="N78" t="str">
            <v>MH</v>
          </cell>
          <cell r="O78" t="str">
            <v>lanau lempung</v>
          </cell>
          <cell r="T78">
            <v>-9.5</v>
          </cell>
          <cell r="AQ78">
            <v>50</v>
          </cell>
          <cell r="AV78" t="str">
            <v>SPT</v>
          </cell>
          <cell r="AW78" t="str">
            <v>ML</v>
          </cell>
          <cell r="AX78" t="str">
            <v>Hard</v>
          </cell>
          <cell r="AY78">
            <v>45</v>
          </cell>
          <cell r="AZ78" t="str">
            <v>Hard</v>
          </cell>
          <cell r="BA78">
            <v>45</v>
          </cell>
          <cell r="BB78">
            <v>1.5</v>
          </cell>
          <cell r="BC78" t="str">
            <v>B-3Hard</v>
          </cell>
        </row>
        <row r="79">
          <cell r="A79" t="str">
            <v>B-3</v>
          </cell>
          <cell r="B79" t="str">
            <v>Pasar Modern Timur, BSD</v>
          </cell>
          <cell r="C79" t="str">
            <v>Pasar Modern Timur, BSD</v>
          </cell>
          <cell r="H79">
            <v>0</v>
          </cell>
          <cell r="K79">
            <v>11</v>
          </cell>
          <cell r="L79">
            <v>50</v>
          </cell>
          <cell r="M79">
            <v>15.5</v>
          </cell>
          <cell r="N79" t="str">
            <v>SM</v>
          </cell>
          <cell r="O79" t="str">
            <v>pasir lanau</v>
          </cell>
          <cell r="T79">
            <v>-11</v>
          </cell>
          <cell r="AQ79">
            <v>50</v>
          </cell>
          <cell r="AV79" t="str">
            <v>SPT</v>
          </cell>
          <cell r="AW79" t="str">
            <v>SM</v>
          </cell>
          <cell r="AX79" t="str">
            <v>Very Dense</v>
          </cell>
          <cell r="AY79">
            <v>50</v>
          </cell>
          <cell r="AZ79" t="str">
            <v>Very Dense</v>
          </cell>
          <cell r="BA79">
            <v>50</v>
          </cell>
          <cell r="BB79">
            <v>1.5</v>
          </cell>
          <cell r="BC79" t="str">
            <v>B-3Very Dense</v>
          </cell>
        </row>
        <row r="80">
          <cell r="A80" t="str">
            <v>B-3</v>
          </cell>
          <cell r="B80" t="str">
            <v>Pasar Modern Timur, BSD</v>
          </cell>
          <cell r="C80" t="str">
            <v>Pasar Modern Timur, BSD</v>
          </cell>
          <cell r="H80">
            <v>0</v>
          </cell>
          <cell r="K80">
            <v>12.5</v>
          </cell>
          <cell r="L80">
            <v>50</v>
          </cell>
          <cell r="M80">
            <v>18.600000000000001</v>
          </cell>
          <cell r="N80" t="str">
            <v>ML</v>
          </cell>
          <cell r="O80" t="str">
            <v>lanau pasir</v>
          </cell>
          <cell r="T80">
            <v>-12.5</v>
          </cell>
          <cell r="AQ80">
            <v>50</v>
          </cell>
          <cell r="AV80" t="str">
            <v>SPT</v>
          </cell>
          <cell r="AW80" t="str">
            <v>SM</v>
          </cell>
          <cell r="AX80" t="str">
            <v>Very Dense</v>
          </cell>
          <cell r="AY80">
            <v>50</v>
          </cell>
          <cell r="AZ80" t="str">
            <v>Very Dense</v>
          </cell>
          <cell r="BA80">
            <v>50</v>
          </cell>
          <cell r="BB80">
            <v>1.5</v>
          </cell>
          <cell r="BC80" t="str">
            <v>B-3Very Dense</v>
          </cell>
        </row>
        <row r="81">
          <cell r="A81" t="str">
            <v>B-3</v>
          </cell>
          <cell r="B81" t="str">
            <v>Pasar Modern Timur, BSD</v>
          </cell>
          <cell r="C81" t="str">
            <v>Pasar Modern Timur, BSD</v>
          </cell>
          <cell r="H81">
            <v>0</v>
          </cell>
          <cell r="K81">
            <v>14</v>
          </cell>
          <cell r="L81">
            <v>5</v>
          </cell>
          <cell r="M81">
            <v>23.6</v>
          </cell>
          <cell r="N81" t="str">
            <v>SM</v>
          </cell>
          <cell r="O81" t="str">
            <v>pasir lanau</v>
          </cell>
          <cell r="T81">
            <v>-14</v>
          </cell>
          <cell r="AQ81">
            <v>5</v>
          </cell>
          <cell r="AV81" t="str">
            <v>SPT</v>
          </cell>
          <cell r="AW81" t="str">
            <v>SM</v>
          </cell>
          <cell r="AX81" t="str">
            <v>Loose</v>
          </cell>
          <cell r="AY81">
            <v>5</v>
          </cell>
          <cell r="AZ81" t="str">
            <v>Loose</v>
          </cell>
          <cell r="BA81">
            <v>5</v>
          </cell>
          <cell r="BB81">
            <v>1.5</v>
          </cell>
          <cell r="BC81" t="str">
            <v>B-3Loose</v>
          </cell>
        </row>
        <row r="82">
          <cell r="A82" t="str">
            <v>B-3</v>
          </cell>
          <cell r="B82" t="str">
            <v>Pasar Modern Timur, BSD</v>
          </cell>
          <cell r="C82" t="str">
            <v>Pasar Modern Timur, BSD</v>
          </cell>
          <cell r="H82">
            <v>0</v>
          </cell>
          <cell r="K82">
            <v>15.5</v>
          </cell>
          <cell r="L82">
            <v>17</v>
          </cell>
          <cell r="M82">
            <v>26.4</v>
          </cell>
          <cell r="N82" t="str">
            <v>ML</v>
          </cell>
          <cell r="O82" t="str">
            <v>lanau pasir</v>
          </cell>
          <cell r="T82">
            <v>-15.5</v>
          </cell>
          <cell r="AQ82">
            <v>17</v>
          </cell>
          <cell r="AV82" t="str">
            <v>SPT</v>
          </cell>
          <cell r="AW82" t="str">
            <v>ML</v>
          </cell>
          <cell r="AX82" t="str">
            <v>Very Stiff 1</v>
          </cell>
          <cell r="AY82">
            <v>17.666666666666668</v>
          </cell>
          <cell r="AZ82" t="str">
            <v>Very Stiff 1</v>
          </cell>
          <cell r="BA82">
            <v>17</v>
          </cell>
          <cell r="BB82">
            <v>1.5</v>
          </cell>
          <cell r="BC82" t="str">
            <v>B-3Very Stiff 1</v>
          </cell>
        </row>
        <row r="83">
          <cell r="A83" t="str">
            <v>B-3</v>
          </cell>
          <cell r="B83" t="str">
            <v>Pasar Modern Timur, BSD</v>
          </cell>
          <cell r="C83" t="str">
            <v>Pasar Modern Timur, BSD</v>
          </cell>
          <cell r="H83">
            <v>0</v>
          </cell>
          <cell r="K83">
            <v>17</v>
          </cell>
          <cell r="L83">
            <v>9</v>
          </cell>
          <cell r="M83">
            <v>30.36</v>
          </cell>
          <cell r="N83" t="str">
            <v>SM</v>
          </cell>
          <cell r="O83" t="str">
            <v>pasir lanau</v>
          </cell>
          <cell r="T83">
            <v>-17</v>
          </cell>
          <cell r="AQ83">
            <v>9</v>
          </cell>
          <cell r="AV83" t="str">
            <v>SPT</v>
          </cell>
          <cell r="AW83" t="str">
            <v>ML</v>
          </cell>
          <cell r="AX83" t="str">
            <v>Stiff</v>
          </cell>
          <cell r="AY83">
            <v>10.5</v>
          </cell>
          <cell r="AZ83" t="str">
            <v>Stiff</v>
          </cell>
          <cell r="BA83">
            <v>10</v>
          </cell>
          <cell r="BB83">
            <v>1.5</v>
          </cell>
          <cell r="BC83" t="str">
            <v>B-3Stiff</v>
          </cell>
        </row>
        <row r="84">
          <cell r="A84" t="str">
            <v>B-3</v>
          </cell>
          <cell r="B84" t="str">
            <v>Pasar Modern Timur, BSD</v>
          </cell>
          <cell r="C84" t="str">
            <v>Pasar Modern Timur, BSD</v>
          </cell>
          <cell r="H84">
            <v>0</v>
          </cell>
          <cell r="K84">
            <v>18.5</v>
          </cell>
          <cell r="L84">
            <v>20</v>
          </cell>
          <cell r="T84">
            <v>-18.5</v>
          </cell>
          <cell r="AQ84">
            <v>20</v>
          </cell>
          <cell r="AV84" t="str">
            <v>SPT</v>
          </cell>
          <cell r="AW84" t="str">
            <v>ML</v>
          </cell>
          <cell r="AX84" t="str">
            <v>Very Stiff 1</v>
          </cell>
          <cell r="AY84">
            <v>17.666666666666668</v>
          </cell>
          <cell r="AZ84" t="str">
            <v>Very Stiff 1</v>
          </cell>
          <cell r="BA84">
            <v>17</v>
          </cell>
          <cell r="BB84">
            <v>1.5</v>
          </cell>
          <cell r="BC84" t="str">
            <v>B-3Very Stiff 1</v>
          </cell>
        </row>
        <row r="85">
          <cell r="A85" t="str">
            <v>B-3</v>
          </cell>
          <cell r="B85" t="str">
            <v>Pasar Modern Timur, BSD</v>
          </cell>
          <cell r="C85" t="str">
            <v>Pasar Modern Timur, BSD</v>
          </cell>
          <cell r="H85">
            <v>0</v>
          </cell>
          <cell r="K85">
            <v>20</v>
          </cell>
          <cell r="L85">
            <v>34</v>
          </cell>
          <cell r="T85">
            <v>-20</v>
          </cell>
          <cell r="AQ85">
            <v>34</v>
          </cell>
          <cell r="AV85" t="str">
            <v>SPT</v>
          </cell>
          <cell r="AW85" t="str">
            <v>SM</v>
          </cell>
          <cell r="AX85" t="str">
            <v>Dense 1</v>
          </cell>
          <cell r="AY85">
            <v>34.5</v>
          </cell>
          <cell r="AZ85" t="str">
            <v>Dense 1</v>
          </cell>
          <cell r="BA85">
            <v>34</v>
          </cell>
          <cell r="BB85">
            <v>1.5</v>
          </cell>
          <cell r="BC85" t="str">
            <v>B-3Dense 1</v>
          </cell>
        </row>
        <row r="86">
          <cell r="A86" t="str">
            <v>B-3</v>
          </cell>
          <cell r="B86" t="str">
            <v>Pasar Modern Timur, BSD</v>
          </cell>
          <cell r="C86" t="str">
            <v>Pasar Modern Timur, BSD</v>
          </cell>
          <cell r="H86">
            <v>0</v>
          </cell>
          <cell r="K86">
            <v>21.5</v>
          </cell>
          <cell r="L86">
            <v>50</v>
          </cell>
          <cell r="T86">
            <v>-21.5</v>
          </cell>
          <cell r="AQ86">
            <v>50</v>
          </cell>
          <cell r="AV86" t="str">
            <v>SPT</v>
          </cell>
          <cell r="AW86" t="str">
            <v>SM</v>
          </cell>
          <cell r="AX86" t="str">
            <v>Very Dense</v>
          </cell>
          <cell r="AY86">
            <v>50</v>
          </cell>
          <cell r="AZ86" t="str">
            <v>Very Dense</v>
          </cell>
          <cell r="BA86">
            <v>50</v>
          </cell>
          <cell r="BB86">
            <v>1.5</v>
          </cell>
          <cell r="BC86" t="str">
            <v>B-3Very Dense</v>
          </cell>
        </row>
        <row r="87">
          <cell r="A87" t="str">
            <v>B-3</v>
          </cell>
          <cell r="B87" t="str">
            <v>Pasar Modern Timur, BSD</v>
          </cell>
          <cell r="C87" t="str">
            <v>Pasar Modern Timur, BSD</v>
          </cell>
          <cell r="H87">
            <v>0</v>
          </cell>
          <cell r="K87">
            <v>23</v>
          </cell>
          <cell r="L87">
            <v>50</v>
          </cell>
          <cell r="T87">
            <v>-23</v>
          </cell>
          <cell r="AQ87">
            <v>50</v>
          </cell>
          <cell r="AV87" t="str">
            <v>SPT</v>
          </cell>
          <cell r="AW87" t="str">
            <v>SM</v>
          </cell>
          <cell r="AX87" t="str">
            <v>Very Dense</v>
          </cell>
          <cell r="AY87">
            <v>50</v>
          </cell>
          <cell r="AZ87" t="str">
            <v>Very Dense</v>
          </cell>
          <cell r="BA87">
            <v>50</v>
          </cell>
          <cell r="BB87">
            <v>1.5</v>
          </cell>
          <cell r="BC87" t="str">
            <v>B-3Very Dense</v>
          </cell>
        </row>
        <row r="88">
          <cell r="A88" t="str">
            <v>B-3</v>
          </cell>
          <cell r="B88" t="str">
            <v>Pasar Modern Timur, BSD</v>
          </cell>
          <cell r="C88" t="str">
            <v>Pasar Modern Timur, BSD</v>
          </cell>
          <cell r="H88">
            <v>0</v>
          </cell>
          <cell r="K88">
            <v>24.5</v>
          </cell>
          <cell r="L88">
            <v>16</v>
          </cell>
          <cell r="T88">
            <v>-24.5</v>
          </cell>
          <cell r="AQ88">
            <v>16</v>
          </cell>
          <cell r="AV88" t="str">
            <v>SPT</v>
          </cell>
          <cell r="AW88" t="str">
            <v>ML</v>
          </cell>
          <cell r="AX88" t="str">
            <v>Very Stiff 1</v>
          </cell>
          <cell r="AY88">
            <v>17.666666666666668</v>
          </cell>
          <cell r="AZ88" t="str">
            <v>Very Stiff 1</v>
          </cell>
          <cell r="BA88">
            <v>17</v>
          </cell>
          <cell r="BB88">
            <v>1.5</v>
          </cell>
          <cell r="BC88" t="str">
            <v>B-3Very Stiff 1</v>
          </cell>
        </row>
        <row r="89">
          <cell r="A89" t="str">
            <v>B-3</v>
          </cell>
          <cell r="B89" t="str">
            <v>Pasar Modern Timur, BSD</v>
          </cell>
          <cell r="C89" t="str">
            <v>Pasar Modern Timur, BSD</v>
          </cell>
          <cell r="H89">
            <v>0</v>
          </cell>
          <cell r="K89">
            <v>26</v>
          </cell>
          <cell r="L89">
            <v>12</v>
          </cell>
          <cell r="T89">
            <v>-26</v>
          </cell>
          <cell r="AQ89">
            <v>12</v>
          </cell>
          <cell r="AV89" t="str">
            <v>SPT</v>
          </cell>
          <cell r="AW89" t="str">
            <v>ML</v>
          </cell>
          <cell r="AX89" t="str">
            <v>Stiff</v>
          </cell>
          <cell r="AY89">
            <v>10.5</v>
          </cell>
          <cell r="AZ89" t="str">
            <v>Stiff</v>
          </cell>
          <cell r="BA89">
            <v>10</v>
          </cell>
          <cell r="BB89">
            <v>1.5</v>
          </cell>
          <cell r="BC89" t="str">
            <v>B-3Stiff</v>
          </cell>
        </row>
        <row r="90">
          <cell r="A90" t="str">
            <v>B-3</v>
          </cell>
          <cell r="B90" t="str">
            <v>Pasar Modern Timur, BSD</v>
          </cell>
          <cell r="C90" t="str">
            <v>Pasar Modern Timur, BSD</v>
          </cell>
          <cell r="H90">
            <v>0</v>
          </cell>
          <cell r="K90">
            <v>27.5</v>
          </cell>
          <cell r="L90">
            <v>35</v>
          </cell>
          <cell r="T90">
            <v>-27.5</v>
          </cell>
          <cell r="AQ90">
            <v>35</v>
          </cell>
          <cell r="AV90" t="str">
            <v>SPT</v>
          </cell>
          <cell r="AW90" t="str">
            <v>SM</v>
          </cell>
          <cell r="AX90" t="str">
            <v>Dense 1</v>
          </cell>
          <cell r="AY90">
            <v>34.5</v>
          </cell>
          <cell r="AZ90" t="str">
            <v>Dense 1</v>
          </cell>
          <cell r="BA90">
            <v>34</v>
          </cell>
          <cell r="BB90">
            <v>1.5</v>
          </cell>
          <cell r="BC90" t="str">
            <v>B-3Dense 1</v>
          </cell>
        </row>
        <row r="91">
          <cell r="A91" t="str">
            <v>B-3</v>
          </cell>
          <cell r="B91" t="str">
            <v>Pasar Modern Timur, BSD</v>
          </cell>
          <cell r="C91" t="str">
            <v>Pasar Modern Timur, BSD</v>
          </cell>
          <cell r="H91">
            <v>0</v>
          </cell>
          <cell r="K91">
            <v>29</v>
          </cell>
          <cell r="L91">
            <v>22</v>
          </cell>
          <cell r="T91">
            <v>-29</v>
          </cell>
          <cell r="AQ91">
            <v>22</v>
          </cell>
          <cell r="AV91" t="str">
            <v>SPT</v>
          </cell>
          <cell r="AW91" t="str">
            <v>SM</v>
          </cell>
          <cell r="AX91" t="str">
            <v>Medium Dense 2</v>
          </cell>
          <cell r="AY91">
            <v>22</v>
          </cell>
          <cell r="AZ91" t="str">
            <v>Medium Dense 2</v>
          </cell>
          <cell r="BA91">
            <v>22</v>
          </cell>
          <cell r="BB91">
            <v>1.5</v>
          </cell>
          <cell r="BC91" t="str">
            <v>B-3Medium Dense 2</v>
          </cell>
        </row>
        <row r="92">
          <cell r="A92" t="str">
            <v>B-3</v>
          </cell>
          <cell r="B92" t="str">
            <v>Pasar Modern Timur, BSD</v>
          </cell>
          <cell r="C92" t="str">
            <v>Pasar Modern Timur, BSD</v>
          </cell>
          <cell r="H92">
            <v>0</v>
          </cell>
          <cell r="K92">
            <v>30.36</v>
          </cell>
          <cell r="L92">
            <v>50</v>
          </cell>
          <cell r="T92">
            <v>-30.36</v>
          </cell>
          <cell r="AQ92">
            <v>50</v>
          </cell>
          <cell r="AV92" t="str">
            <v>SPT</v>
          </cell>
          <cell r="AW92" t="str">
            <v>SM</v>
          </cell>
          <cell r="AX92" t="str">
            <v>Very Dense</v>
          </cell>
          <cell r="AY92">
            <v>50</v>
          </cell>
          <cell r="AZ92" t="str">
            <v>Very Dense</v>
          </cell>
          <cell r="BA92">
            <v>50</v>
          </cell>
          <cell r="BB92">
            <v>1.3599999999999994</v>
          </cell>
          <cell r="BC92" t="str">
            <v>B-3Very Dense</v>
          </cell>
        </row>
        <row r="93">
          <cell r="A93" t="str">
            <v>B-4</v>
          </cell>
          <cell r="B93" t="str">
            <v>Pasar Modern Timur, BSD</v>
          </cell>
          <cell r="C93" t="str">
            <v>Pasar Modern Timur, BSD</v>
          </cell>
          <cell r="H93">
            <v>0</v>
          </cell>
          <cell r="K93">
            <v>0</v>
          </cell>
          <cell r="L93">
            <v>0</v>
          </cell>
          <cell r="M93">
            <v>0</v>
          </cell>
          <cell r="N93" t="str">
            <v>MH</v>
          </cell>
          <cell r="O93" t="str">
            <v>lanau lempung</v>
          </cell>
          <cell r="T93">
            <v>0</v>
          </cell>
          <cell r="AQ93">
            <v>0</v>
          </cell>
          <cell r="AU93">
            <v>87</v>
          </cell>
          <cell r="AV93" t="str">
            <v>SPT</v>
          </cell>
          <cell r="AW93" t="str">
            <v>MH</v>
          </cell>
          <cell r="AX93" t="str">
            <v>Very Soft</v>
          </cell>
          <cell r="AY93">
            <v>1</v>
          </cell>
          <cell r="AZ93" t="str">
            <v>undefined</v>
          </cell>
          <cell r="BA93" t="e">
            <v>#DIV/0!</v>
          </cell>
          <cell r="BB93">
            <v>0</v>
          </cell>
          <cell r="BC93" t="str">
            <v>B-4undefined</v>
          </cell>
        </row>
        <row r="94">
          <cell r="A94" t="str">
            <v>B-4</v>
          </cell>
          <cell r="B94" t="str">
            <v>Pasar Modern Timur, BSD</v>
          </cell>
          <cell r="C94" t="str">
            <v>Pasar Modern Timur, BSD</v>
          </cell>
          <cell r="H94">
            <v>0</v>
          </cell>
          <cell r="K94">
            <v>2</v>
          </cell>
          <cell r="L94">
            <v>10</v>
          </cell>
          <cell r="M94">
            <v>4</v>
          </cell>
          <cell r="N94" t="str">
            <v>MH</v>
          </cell>
          <cell r="O94" t="str">
            <v>lanau lempung</v>
          </cell>
          <cell r="T94">
            <v>-2</v>
          </cell>
          <cell r="AQ94">
            <v>10</v>
          </cell>
          <cell r="AU94">
            <v>107</v>
          </cell>
          <cell r="AV94" t="str">
            <v>SPT</v>
          </cell>
          <cell r="AW94" t="str">
            <v>MH</v>
          </cell>
          <cell r="AX94" t="str">
            <v>Stiff</v>
          </cell>
          <cell r="AY94">
            <v>10.333333333333334</v>
          </cell>
          <cell r="AZ94" t="str">
            <v>Stiff</v>
          </cell>
          <cell r="BA94">
            <v>10</v>
          </cell>
          <cell r="BB94">
            <v>2</v>
          </cell>
          <cell r="BC94" t="str">
            <v>B-4Stiff</v>
          </cell>
        </row>
        <row r="95">
          <cell r="A95" t="str">
            <v>B-4</v>
          </cell>
          <cell r="B95" t="str">
            <v>Pasar Modern Timur, BSD</v>
          </cell>
          <cell r="C95" t="str">
            <v>Pasar Modern Timur, BSD</v>
          </cell>
          <cell r="H95">
            <v>0</v>
          </cell>
          <cell r="K95">
            <v>3.5</v>
          </cell>
          <cell r="L95">
            <v>6</v>
          </cell>
          <cell r="M95">
            <v>9</v>
          </cell>
          <cell r="N95" t="str">
            <v>ML</v>
          </cell>
          <cell r="O95" t="str">
            <v>lanau pasir</v>
          </cell>
          <cell r="T95">
            <v>-3.5</v>
          </cell>
          <cell r="AQ95">
            <v>6</v>
          </cell>
          <cell r="AV95" t="str">
            <v>SPT</v>
          </cell>
          <cell r="AW95" t="str">
            <v>MH</v>
          </cell>
          <cell r="AX95" t="str">
            <v>Medium</v>
          </cell>
          <cell r="AY95">
            <v>6</v>
          </cell>
          <cell r="AZ95" t="str">
            <v>Medium</v>
          </cell>
          <cell r="BA95">
            <v>6</v>
          </cell>
          <cell r="BB95">
            <v>1.5</v>
          </cell>
          <cell r="BC95" t="str">
            <v>B-4Medium</v>
          </cell>
        </row>
        <row r="96">
          <cell r="A96" t="str">
            <v>B-4</v>
          </cell>
          <cell r="B96" t="str">
            <v>Pasar Modern Timur, BSD</v>
          </cell>
          <cell r="C96" t="str">
            <v>Pasar Modern Timur, BSD</v>
          </cell>
          <cell r="H96">
            <v>0</v>
          </cell>
          <cell r="K96">
            <v>5</v>
          </cell>
          <cell r="L96">
            <v>1</v>
          </cell>
          <cell r="M96">
            <v>15</v>
          </cell>
          <cell r="N96" t="str">
            <v>ML</v>
          </cell>
          <cell r="O96" t="str">
            <v>lanau pasir</v>
          </cell>
          <cell r="T96">
            <v>-5</v>
          </cell>
          <cell r="AQ96">
            <v>1</v>
          </cell>
          <cell r="AV96" t="str">
            <v>SPT</v>
          </cell>
          <cell r="AW96" t="str">
            <v>ML</v>
          </cell>
          <cell r="AX96" t="str">
            <v>Very Soft</v>
          </cell>
          <cell r="AY96">
            <v>1</v>
          </cell>
          <cell r="AZ96" t="str">
            <v>Very Soft</v>
          </cell>
          <cell r="BA96">
            <v>1</v>
          </cell>
          <cell r="BB96">
            <v>1.5</v>
          </cell>
          <cell r="BC96" t="str">
            <v>B-4Very Soft</v>
          </cell>
        </row>
        <row r="97">
          <cell r="A97" t="str">
            <v>B-4</v>
          </cell>
          <cell r="B97" t="str">
            <v>Pasar Modern Timur, BSD</v>
          </cell>
          <cell r="C97" t="str">
            <v>Pasar Modern Timur, BSD</v>
          </cell>
          <cell r="H97">
            <v>0</v>
          </cell>
          <cell r="K97">
            <v>6.5</v>
          </cell>
          <cell r="L97">
            <v>1</v>
          </cell>
          <cell r="M97">
            <v>21.5</v>
          </cell>
          <cell r="N97" t="str">
            <v>SW-SP</v>
          </cell>
          <cell r="O97" t="str">
            <v>pasir kerikil</v>
          </cell>
          <cell r="T97">
            <v>-6.5</v>
          </cell>
          <cell r="AQ97">
            <v>1</v>
          </cell>
          <cell r="AV97" t="str">
            <v>SPT</v>
          </cell>
          <cell r="AW97" t="str">
            <v>ML</v>
          </cell>
          <cell r="AX97" t="str">
            <v>Very Soft</v>
          </cell>
          <cell r="AY97">
            <v>1</v>
          </cell>
          <cell r="AZ97" t="str">
            <v>Very Soft</v>
          </cell>
          <cell r="BA97">
            <v>1</v>
          </cell>
          <cell r="BB97">
            <v>1.5</v>
          </cell>
          <cell r="BC97" t="str">
            <v>B-4Very Soft</v>
          </cell>
        </row>
        <row r="98">
          <cell r="A98" t="str">
            <v>B-4</v>
          </cell>
          <cell r="B98" t="str">
            <v>Pasar Modern Timur, BSD</v>
          </cell>
          <cell r="C98" t="str">
            <v>Pasar Modern Timur, BSD</v>
          </cell>
          <cell r="H98">
            <v>0</v>
          </cell>
          <cell r="K98">
            <v>8</v>
          </cell>
          <cell r="L98">
            <v>1</v>
          </cell>
          <cell r="M98">
            <v>22.3</v>
          </cell>
          <cell r="N98" t="str">
            <v>ML</v>
          </cell>
          <cell r="O98" t="str">
            <v>lanau pasir</v>
          </cell>
          <cell r="T98">
            <v>-8</v>
          </cell>
          <cell r="AQ98">
            <v>1</v>
          </cell>
          <cell r="AV98" t="str">
            <v>SPT</v>
          </cell>
          <cell r="AW98" t="str">
            <v>ML</v>
          </cell>
          <cell r="AX98" t="str">
            <v>Very Soft</v>
          </cell>
          <cell r="AY98">
            <v>1</v>
          </cell>
          <cell r="AZ98" t="str">
            <v>Very Soft</v>
          </cell>
          <cell r="BA98">
            <v>1</v>
          </cell>
          <cell r="BB98">
            <v>1.5</v>
          </cell>
          <cell r="BC98" t="str">
            <v>B-4Very Soft</v>
          </cell>
        </row>
        <row r="99">
          <cell r="A99" t="str">
            <v>B-4</v>
          </cell>
          <cell r="B99" t="str">
            <v>Pasar Modern Timur, BSD</v>
          </cell>
          <cell r="C99" t="str">
            <v>Pasar Modern Timur, BSD</v>
          </cell>
          <cell r="H99">
            <v>0</v>
          </cell>
          <cell r="K99">
            <v>9.5</v>
          </cell>
          <cell r="L99">
            <v>10</v>
          </cell>
          <cell r="M99">
            <v>29</v>
          </cell>
          <cell r="N99" t="str">
            <v>ML</v>
          </cell>
          <cell r="O99" t="str">
            <v>lanau pasir</v>
          </cell>
          <cell r="T99">
            <v>-9.5</v>
          </cell>
          <cell r="AQ99">
            <v>10</v>
          </cell>
          <cell r="AV99" t="str">
            <v>SPT</v>
          </cell>
          <cell r="AW99" t="str">
            <v>ML</v>
          </cell>
          <cell r="AX99" t="str">
            <v>Stiff</v>
          </cell>
          <cell r="AY99">
            <v>10.333333333333334</v>
          </cell>
          <cell r="AZ99" t="str">
            <v>Stiff</v>
          </cell>
          <cell r="BA99">
            <v>10</v>
          </cell>
          <cell r="BB99">
            <v>1.5</v>
          </cell>
          <cell r="BC99" t="str">
            <v>B-4Stiff</v>
          </cell>
        </row>
        <row r="100">
          <cell r="A100" t="str">
            <v>B-4</v>
          </cell>
          <cell r="B100" t="str">
            <v>Pasar Modern Timur, BSD</v>
          </cell>
          <cell r="C100" t="str">
            <v>Pasar Modern Timur, BSD</v>
          </cell>
          <cell r="H100">
            <v>0</v>
          </cell>
          <cell r="K100">
            <v>11</v>
          </cell>
          <cell r="L100">
            <v>18</v>
          </cell>
          <cell r="M100">
            <v>30.38</v>
          </cell>
          <cell r="N100" t="str">
            <v>SM</v>
          </cell>
          <cell r="O100" t="str">
            <v>pasir lanau</v>
          </cell>
          <cell r="T100">
            <v>-11</v>
          </cell>
          <cell r="AQ100">
            <v>18</v>
          </cell>
          <cell r="AV100" t="str">
            <v>SPT</v>
          </cell>
          <cell r="AW100" t="str">
            <v>ML</v>
          </cell>
          <cell r="AX100" t="str">
            <v>Very Stiff 1</v>
          </cell>
          <cell r="AY100">
            <v>16.8</v>
          </cell>
          <cell r="AZ100" t="str">
            <v>Very Stiff 1</v>
          </cell>
          <cell r="BA100">
            <v>16</v>
          </cell>
          <cell r="BB100">
            <v>1.5</v>
          </cell>
          <cell r="BC100" t="str">
            <v>B-4Very Stiff 1</v>
          </cell>
        </row>
        <row r="101">
          <cell r="A101" t="str">
            <v>B-4</v>
          </cell>
          <cell r="B101" t="str">
            <v>Pasar Modern Timur, BSD</v>
          </cell>
          <cell r="C101" t="str">
            <v>Pasar Modern Timur, BSD</v>
          </cell>
          <cell r="H101">
            <v>0</v>
          </cell>
          <cell r="K101">
            <v>12.5</v>
          </cell>
          <cell r="L101">
            <v>41</v>
          </cell>
          <cell r="T101">
            <v>-12.5</v>
          </cell>
          <cell r="AQ101">
            <v>41</v>
          </cell>
          <cell r="AV101" t="str">
            <v>SPT</v>
          </cell>
          <cell r="AW101" t="str">
            <v>ML</v>
          </cell>
          <cell r="AX101" t="str">
            <v>Hard</v>
          </cell>
          <cell r="AY101">
            <v>45.5</v>
          </cell>
          <cell r="AZ101" t="str">
            <v>Hard</v>
          </cell>
          <cell r="BA101">
            <v>45</v>
          </cell>
          <cell r="BB101">
            <v>1.5</v>
          </cell>
          <cell r="BC101" t="str">
            <v>B-4Hard</v>
          </cell>
        </row>
        <row r="102">
          <cell r="A102" t="str">
            <v>B-4</v>
          </cell>
          <cell r="B102" t="str">
            <v>Pasar Modern Timur, BSD</v>
          </cell>
          <cell r="C102" t="str">
            <v>Pasar Modern Timur, BSD</v>
          </cell>
          <cell r="H102">
            <v>0</v>
          </cell>
          <cell r="K102">
            <v>14</v>
          </cell>
          <cell r="L102">
            <v>11</v>
          </cell>
          <cell r="T102">
            <v>-14</v>
          </cell>
          <cell r="AQ102">
            <v>11</v>
          </cell>
          <cell r="AV102" t="str">
            <v>SPT</v>
          </cell>
          <cell r="AW102" t="str">
            <v>ML</v>
          </cell>
          <cell r="AX102" t="str">
            <v>Stiff</v>
          </cell>
          <cell r="AY102">
            <v>10.333333333333334</v>
          </cell>
          <cell r="AZ102" t="str">
            <v>Stiff</v>
          </cell>
          <cell r="BA102">
            <v>10</v>
          </cell>
          <cell r="BB102">
            <v>1.5</v>
          </cell>
          <cell r="BC102" t="str">
            <v>B-4Stiff</v>
          </cell>
        </row>
        <row r="103">
          <cell r="A103" t="str">
            <v>B-4</v>
          </cell>
          <cell r="B103" t="str">
            <v>Pasar Modern Timur, BSD</v>
          </cell>
          <cell r="C103" t="str">
            <v>Pasar Modern Timur, BSD</v>
          </cell>
          <cell r="H103">
            <v>0</v>
          </cell>
          <cell r="K103">
            <v>15.5</v>
          </cell>
          <cell r="L103">
            <v>32</v>
          </cell>
          <cell r="T103">
            <v>-15.5</v>
          </cell>
          <cell r="AQ103">
            <v>32</v>
          </cell>
          <cell r="AV103" t="str">
            <v>SPT</v>
          </cell>
          <cell r="AW103" t="str">
            <v>SW-SP</v>
          </cell>
          <cell r="AX103" t="str">
            <v>Dense 1</v>
          </cell>
          <cell r="AY103">
            <v>32.5</v>
          </cell>
          <cell r="AZ103" t="str">
            <v>Dense 1</v>
          </cell>
          <cell r="BA103">
            <v>32</v>
          </cell>
          <cell r="BB103">
            <v>1.5</v>
          </cell>
          <cell r="BC103" t="str">
            <v>B-4Dense 1</v>
          </cell>
        </row>
        <row r="104">
          <cell r="A104" t="str">
            <v>B-4</v>
          </cell>
          <cell r="B104" t="str">
            <v>Pasar Modern Timur, BSD</v>
          </cell>
          <cell r="C104" t="str">
            <v>Pasar Modern Timur, BSD</v>
          </cell>
          <cell r="H104">
            <v>0</v>
          </cell>
          <cell r="K104">
            <v>17</v>
          </cell>
          <cell r="L104">
            <v>50</v>
          </cell>
          <cell r="T104">
            <v>-17</v>
          </cell>
          <cell r="AQ104">
            <v>50</v>
          </cell>
          <cell r="AV104" t="str">
            <v>SPT</v>
          </cell>
          <cell r="AW104" t="str">
            <v>SW-SP</v>
          </cell>
          <cell r="AX104" t="str">
            <v>Very Dense</v>
          </cell>
          <cell r="AY104">
            <v>50</v>
          </cell>
          <cell r="AZ104" t="str">
            <v>Very Dense</v>
          </cell>
          <cell r="BA104">
            <v>50</v>
          </cell>
          <cell r="BB104">
            <v>1.5</v>
          </cell>
          <cell r="BC104" t="str">
            <v>B-4Very Dense</v>
          </cell>
        </row>
        <row r="105">
          <cell r="A105" t="str">
            <v>B-4</v>
          </cell>
          <cell r="B105" t="str">
            <v>Pasar Modern Timur, BSD</v>
          </cell>
          <cell r="C105" t="str">
            <v>Pasar Modern Timur, BSD</v>
          </cell>
          <cell r="H105">
            <v>0</v>
          </cell>
          <cell r="K105">
            <v>18.5</v>
          </cell>
          <cell r="L105">
            <v>50</v>
          </cell>
          <cell r="T105">
            <v>-18.5</v>
          </cell>
          <cell r="AQ105">
            <v>50</v>
          </cell>
          <cell r="AV105" t="str">
            <v>SPT</v>
          </cell>
          <cell r="AW105" t="str">
            <v>SW-SP</v>
          </cell>
          <cell r="AX105" t="str">
            <v>Very Dense</v>
          </cell>
          <cell r="AY105">
            <v>50</v>
          </cell>
          <cell r="AZ105" t="str">
            <v>Very Dense</v>
          </cell>
          <cell r="BA105">
            <v>50</v>
          </cell>
          <cell r="BB105">
            <v>1.5</v>
          </cell>
          <cell r="BC105" t="str">
            <v>B-4Very Dense</v>
          </cell>
        </row>
        <row r="106">
          <cell r="A106" t="str">
            <v>B-4</v>
          </cell>
          <cell r="B106" t="str">
            <v>Pasar Modern Timur, BSD</v>
          </cell>
          <cell r="C106" t="str">
            <v>Pasar Modern Timur, BSD</v>
          </cell>
          <cell r="H106">
            <v>0</v>
          </cell>
          <cell r="K106">
            <v>20</v>
          </cell>
          <cell r="L106">
            <v>50</v>
          </cell>
          <cell r="T106">
            <v>-20</v>
          </cell>
          <cell r="AQ106">
            <v>50</v>
          </cell>
          <cell r="AV106" t="str">
            <v>SPT</v>
          </cell>
          <cell r="AW106" t="str">
            <v>SW-SP</v>
          </cell>
          <cell r="AX106" t="str">
            <v>Very Dense</v>
          </cell>
          <cell r="AY106">
            <v>50</v>
          </cell>
          <cell r="AZ106" t="str">
            <v>Very Dense</v>
          </cell>
          <cell r="BA106">
            <v>50</v>
          </cell>
          <cell r="BB106">
            <v>1.5</v>
          </cell>
          <cell r="BC106" t="str">
            <v>B-4Very Dense</v>
          </cell>
        </row>
        <row r="107">
          <cell r="A107" t="str">
            <v>B-4</v>
          </cell>
          <cell r="B107" t="str">
            <v>Pasar Modern Timur, BSD</v>
          </cell>
          <cell r="C107" t="str">
            <v>Pasar Modern Timur, BSD</v>
          </cell>
          <cell r="H107">
            <v>0</v>
          </cell>
          <cell r="K107">
            <v>21.5</v>
          </cell>
          <cell r="L107">
            <v>50</v>
          </cell>
          <cell r="T107">
            <v>-21.5</v>
          </cell>
          <cell r="AQ107">
            <v>50</v>
          </cell>
          <cell r="AV107" t="str">
            <v>SPT</v>
          </cell>
          <cell r="AW107" t="str">
            <v>ML</v>
          </cell>
          <cell r="AX107" t="str">
            <v>Hard</v>
          </cell>
          <cell r="AY107">
            <v>45.5</v>
          </cell>
          <cell r="AZ107" t="str">
            <v>Hard</v>
          </cell>
          <cell r="BA107">
            <v>45</v>
          </cell>
          <cell r="BB107">
            <v>1.5</v>
          </cell>
          <cell r="BC107" t="str">
            <v>B-4Hard</v>
          </cell>
        </row>
        <row r="108">
          <cell r="A108" t="str">
            <v>B-4</v>
          </cell>
          <cell r="B108" t="str">
            <v>Pasar Modern Timur, BSD</v>
          </cell>
          <cell r="C108" t="str">
            <v>Pasar Modern Timur, BSD</v>
          </cell>
          <cell r="H108">
            <v>0</v>
          </cell>
          <cell r="K108">
            <v>23</v>
          </cell>
          <cell r="L108">
            <v>20</v>
          </cell>
          <cell r="T108">
            <v>-23</v>
          </cell>
          <cell r="AQ108">
            <v>20</v>
          </cell>
          <cell r="AV108" t="str">
            <v>SPT</v>
          </cell>
          <cell r="AW108" t="str">
            <v>ML</v>
          </cell>
          <cell r="AX108" t="str">
            <v>Very Stiff 1</v>
          </cell>
          <cell r="AY108">
            <v>16.8</v>
          </cell>
          <cell r="AZ108" t="str">
            <v>Very Stiff 1</v>
          </cell>
          <cell r="BA108">
            <v>16</v>
          </cell>
          <cell r="BB108">
            <v>1.5</v>
          </cell>
          <cell r="BC108" t="str">
            <v>B-4Very Stiff 1</v>
          </cell>
        </row>
        <row r="109">
          <cell r="A109" t="str">
            <v>B-4</v>
          </cell>
          <cell r="B109" t="str">
            <v>Pasar Modern Timur, BSD</v>
          </cell>
          <cell r="C109" t="str">
            <v>Pasar Modern Timur, BSD</v>
          </cell>
          <cell r="H109">
            <v>0</v>
          </cell>
          <cell r="K109">
            <v>24.5</v>
          </cell>
          <cell r="L109">
            <v>15</v>
          </cell>
          <cell r="T109">
            <v>-24.5</v>
          </cell>
          <cell r="AQ109">
            <v>15</v>
          </cell>
          <cell r="AV109" t="str">
            <v>SPT</v>
          </cell>
          <cell r="AW109" t="str">
            <v>ML</v>
          </cell>
          <cell r="AX109" t="str">
            <v>Very Stiff 1</v>
          </cell>
          <cell r="AY109">
            <v>16.8</v>
          </cell>
          <cell r="AZ109" t="str">
            <v>Very Stiff 1</v>
          </cell>
          <cell r="BA109">
            <v>16</v>
          </cell>
          <cell r="BB109">
            <v>1.5</v>
          </cell>
          <cell r="BC109" t="str">
            <v>B-4Very Stiff 1</v>
          </cell>
        </row>
        <row r="110">
          <cell r="A110" t="str">
            <v>B-4</v>
          </cell>
          <cell r="B110" t="str">
            <v>Pasar Modern Timur, BSD</v>
          </cell>
          <cell r="C110" t="str">
            <v>Pasar Modern Timur, BSD</v>
          </cell>
          <cell r="H110">
            <v>0</v>
          </cell>
          <cell r="K110">
            <v>26</v>
          </cell>
          <cell r="L110">
            <v>16</v>
          </cell>
          <cell r="T110">
            <v>-26</v>
          </cell>
          <cell r="AQ110">
            <v>16</v>
          </cell>
          <cell r="AV110" t="str">
            <v>SPT</v>
          </cell>
          <cell r="AW110" t="str">
            <v>ML</v>
          </cell>
          <cell r="AX110" t="str">
            <v>Very Stiff 1</v>
          </cell>
          <cell r="AY110">
            <v>16.8</v>
          </cell>
          <cell r="AZ110" t="str">
            <v>Very Stiff 1</v>
          </cell>
          <cell r="BA110">
            <v>16</v>
          </cell>
          <cell r="BB110">
            <v>1.5</v>
          </cell>
          <cell r="BC110" t="str">
            <v>B-4Very Stiff 1</v>
          </cell>
        </row>
        <row r="111">
          <cell r="A111" t="str">
            <v>B-4</v>
          </cell>
          <cell r="B111" t="str">
            <v>Pasar Modern Timur, BSD</v>
          </cell>
          <cell r="C111" t="str">
            <v>Pasar Modern Timur, BSD</v>
          </cell>
          <cell r="H111">
            <v>0</v>
          </cell>
          <cell r="K111">
            <v>27.5</v>
          </cell>
          <cell r="L111">
            <v>15</v>
          </cell>
          <cell r="T111">
            <v>-27.5</v>
          </cell>
          <cell r="AQ111">
            <v>15</v>
          </cell>
          <cell r="AV111" t="str">
            <v>SPT</v>
          </cell>
          <cell r="AW111" t="str">
            <v>ML</v>
          </cell>
          <cell r="AX111" t="str">
            <v>Very Stiff 1</v>
          </cell>
          <cell r="AY111">
            <v>16.8</v>
          </cell>
          <cell r="AZ111" t="str">
            <v>Very Stiff 1</v>
          </cell>
          <cell r="BA111">
            <v>16</v>
          </cell>
          <cell r="BB111">
            <v>1.5</v>
          </cell>
          <cell r="BC111" t="str">
            <v>B-4Very Stiff 1</v>
          </cell>
        </row>
        <row r="112">
          <cell r="A112" t="str">
            <v>B-4</v>
          </cell>
          <cell r="B112" t="str">
            <v>Pasar Modern Timur, BSD</v>
          </cell>
          <cell r="C112" t="str">
            <v>Pasar Modern Timur, BSD</v>
          </cell>
          <cell r="H112">
            <v>0</v>
          </cell>
          <cell r="K112">
            <v>29</v>
          </cell>
          <cell r="L112">
            <v>33</v>
          </cell>
          <cell r="T112">
            <v>-29</v>
          </cell>
          <cell r="AQ112">
            <v>33</v>
          </cell>
          <cell r="AV112" t="str">
            <v>SPT</v>
          </cell>
          <cell r="AW112" t="str">
            <v>SM</v>
          </cell>
          <cell r="AX112" t="str">
            <v>Dense 1</v>
          </cell>
          <cell r="AY112">
            <v>32.5</v>
          </cell>
          <cell r="AZ112" t="str">
            <v>Dense 1</v>
          </cell>
          <cell r="BA112">
            <v>32</v>
          </cell>
          <cell r="BB112">
            <v>1.5</v>
          </cell>
          <cell r="BC112" t="str">
            <v>B-4Dense 1</v>
          </cell>
        </row>
        <row r="113">
          <cell r="A113" t="str">
            <v>B-4</v>
          </cell>
          <cell r="B113" t="str">
            <v>Pasar Modern Timur, BSD</v>
          </cell>
          <cell r="C113" t="str">
            <v>Pasar Modern Timur, BSD</v>
          </cell>
          <cell r="H113">
            <v>0</v>
          </cell>
          <cell r="K113">
            <v>30.38</v>
          </cell>
          <cell r="L113">
            <v>50</v>
          </cell>
          <cell r="T113">
            <v>-30.38</v>
          </cell>
          <cell r="AQ113">
            <v>50</v>
          </cell>
          <cell r="AV113" t="str">
            <v>SPT</v>
          </cell>
          <cell r="AW113" t="str">
            <v>SM</v>
          </cell>
          <cell r="AX113" t="str">
            <v>Very Dense</v>
          </cell>
          <cell r="AY113">
            <v>50</v>
          </cell>
          <cell r="AZ113" t="str">
            <v>Very Dense</v>
          </cell>
          <cell r="BA113">
            <v>50</v>
          </cell>
          <cell r="BB113">
            <v>1.379999999999999</v>
          </cell>
          <cell r="BC113" t="str">
            <v>B-4Very Dense</v>
          </cell>
        </row>
        <row r="114">
          <cell r="A114" t="str">
            <v>S1</v>
          </cell>
          <cell r="B114" t="str">
            <v>Pasar Modern Timur, BSD</v>
          </cell>
          <cell r="H114">
            <v>0</v>
          </cell>
          <cell r="K114">
            <v>0</v>
          </cell>
          <cell r="L114">
            <v>0</v>
          </cell>
          <cell r="M114">
            <v>0</v>
          </cell>
          <cell r="N114" t="str">
            <v>MH</v>
          </cell>
          <cell r="O114" t="str">
            <v>lanau lempung</v>
          </cell>
          <cell r="T114">
            <v>0</v>
          </cell>
          <cell r="AQ114">
            <v>0</v>
          </cell>
          <cell r="AU114">
            <v>108</v>
          </cell>
          <cell r="AV114" t="str">
            <v>SPT</v>
          </cell>
          <cell r="AW114" t="str">
            <v>MH</v>
          </cell>
          <cell r="AX114" t="str">
            <v>Very Soft</v>
          </cell>
          <cell r="AY114" t="e">
            <v>#DIV/0!</v>
          </cell>
          <cell r="AZ114" t="str">
            <v>undefined</v>
          </cell>
          <cell r="BA114" t="e">
            <v>#DIV/0!</v>
          </cell>
          <cell r="BB114">
            <v>0</v>
          </cell>
          <cell r="BC114" t="str">
            <v>S1undefined</v>
          </cell>
        </row>
        <row r="115">
          <cell r="A115" t="str">
            <v>S1</v>
          </cell>
          <cell r="B115" t="str">
            <v>Pasar Modern Timur, BSD</v>
          </cell>
          <cell r="H115">
            <v>0</v>
          </cell>
          <cell r="K115">
            <v>1</v>
          </cell>
          <cell r="L115">
            <v>4</v>
          </cell>
          <cell r="M115">
            <v>5</v>
          </cell>
          <cell r="N115" t="str">
            <v>MH</v>
          </cell>
          <cell r="O115" t="str">
            <v>lanau lempung</v>
          </cell>
          <cell r="T115">
            <v>-1</v>
          </cell>
          <cell r="AQ115">
            <v>4</v>
          </cell>
          <cell r="AU115">
            <v>114</v>
          </cell>
          <cell r="AV115" t="str">
            <v>SPT</v>
          </cell>
          <cell r="AW115" t="str">
            <v>MH</v>
          </cell>
          <cell r="AX115" t="str">
            <v>Medium</v>
          </cell>
          <cell r="AY115">
            <v>4.666666666666667</v>
          </cell>
          <cell r="AZ115" t="str">
            <v>Medium</v>
          </cell>
          <cell r="BA115">
            <v>4</v>
          </cell>
          <cell r="BB115">
            <v>1</v>
          </cell>
          <cell r="BC115" t="str">
            <v>S1Medium</v>
          </cell>
        </row>
        <row r="116">
          <cell r="A116" t="str">
            <v>S1</v>
          </cell>
          <cell r="B116" t="str">
            <v>Pasar Modern Timur, BSD</v>
          </cell>
          <cell r="H116">
            <v>0</v>
          </cell>
          <cell r="K116">
            <v>2</v>
          </cell>
          <cell r="L116">
            <v>5</v>
          </cell>
          <cell r="M116">
            <v>6</v>
          </cell>
          <cell r="N116" t="str">
            <v>SM</v>
          </cell>
          <cell r="O116" t="str">
            <v>pasir lanau</v>
          </cell>
          <cell r="T116">
            <v>-2</v>
          </cell>
          <cell r="AQ116">
            <v>5</v>
          </cell>
          <cell r="AV116" t="str">
            <v>SPT</v>
          </cell>
          <cell r="AW116" t="str">
            <v>MH</v>
          </cell>
          <cell r="AX116" t="str">
            <v>Medium</v>
          </cell>
          <cell r="AY116">
            <v>4.666666666666667</v>
          </cell>
          <cell r="AZ116" t="str">
            <v>Medium</v>
          </cell>
          <cell r="BA116">
            <v>4</v>
          </cell>
          <cell r="BB116">
            <v>1</v>
          </cell>
          <cell r="BC116" t="str">
            <v>S1Medium</v>
          </cell>
        </row>
        <row r="117">
          <cell r="A117" t="str">
            <v>S1</v>
          </cell>
          <cell r="B117" t="str">
            <v>Pasar Modern Timur, BSD</v>
          </cell>
          <cell r="H117">
            <v>0</v>
          </cell>
          <cell r="K117">
            <v>3</v>
          </cell>
          <cell r="L117">
            <v>2</v>
          </cell>
          <cell r="T117">
            <v>-3</v>
          </cell>
          <cell r="AQ117">
            <v>2</v>
          </cell>
          <cell r="AV117" t="str">
            <v>SPT</v>
          </cell>
          <cell r="AW117" t="str">
            <v>MH</v>
          </cell>
          <cell r="AX117" t="str">
            <v>Soft</v>
          </cell>
          <cell r="AY117">
            <v>2</v>
          </cell>
          <cell r="AZ117" t="str">
            <v>Soft</v>
          </cell>
          <cell r="BA117">
            <v>2</v>
          </cell>
          <cell r="BB117">
            <v>1</v>
          </cell>
          <cell r="BC117" t="str">
            <v>S1Soft</v>
          </cell>
        </row>
        <row r="118">
          <cell r="A118" t="str">
            <v>S1</v>
          </cell>
          <cell r="B118" t="str">
            <v>Pasar Modern Timur, BSD</v>
          </cell>
          <cell r="H118">
            <v>0</v>
          </cell>
          <cell r="K118">
            <v>4</v>
          </cell>
          <cell r="L118">
            <v>5</v>
          </cell>
          <cell r="T118">
            <v>-4</v>
          </cell>
          <cell r="AQ118">
            <v>5</v>
          </cell>
          <cell r="AV118" t="str">
            <v>SPT</v>
          </cell>
          <cell r="AW118" t="str">
            <v>MH</v>
          </cell>
          <cell r="AX118" t="str">
            <v>Medium</v>
          </cell>
          <cell r="AY118">
            <v>4.666666666666667</v>
          </cell>
          <cell r="AZ118" t="str">
            <v>Medium</v>
          </cell>
          <cell r="BA118">
            <v>4</v>
          </cell>
          <cell r="BB118">
            <v>1</v>
          </cell>
          <cell r="BC118" t="str">
            <v>S1Medium</v>
          </cell>
        </row>
        <row r="119">
          <cell r="A119" t="str">
            <v>S1</v>
          </cell>
          <cell r="B119" t="str">
            <v>Pasar Modern Timur, BSD</v>
          </cell>
          <cell r="H119">
            <v>0</v>
          </cell>
          <cell r="K119">
            <v>5</v>
          </cell>
          <cell r="L119">
            <v>6</v>
          </cell>
          <cell r="T119">
            <v>-5</v>
          </cell>
          <cell r="AQ119">
            <v>6</v>
          </cell>
          <cell r="AV119" t="str">
            <v>SPT</v>
          </cell>
          <cell r="AW119" t="str">
            <v>SM</v>
          </cell>
          <cell r="AX119" t="str">
            <v>Loose</v>
          </cell>
          <cell r="AY119">
            <v>6</v>
          </cell>
          <cell r="AZ119" t="str">
            <v>Loose</v>
          </cell>
          <cell r="BA119">
            <v>6</v>
          </cell>
          <cell r="BB119">
            <v>1</v>
          </cell>
          <cell r="BC119" t="str">
            <v>S1Loose</v>
          </cell>
        </row>
        <row r="120">
          <cell r="A120" t="str">
            <v>S1</v>
          </cell>
          <cell r="B120" t="str">
            <v>Pasar Modern Timur, BSD</v>
          </cell>
          <cell r="H120">
            <v>0</v>
          </cell>
          <cell r="K120">
            <v>6</v>
          </cell>
          <cell r="L120">
            <v>44</v>
          </cell>
          <cell r="T120">
            <v>-6</v>
          </cell>
          <cell r="AQ120">
            <v>44</v>
          </cell>
          <cell r="AV120" t="str">
            <v>SPT</v>
          </cell>
          <cell r="AW120" t="str">
            <v>SM</v>
          </cell>
          <cell r="AX120" t="str">
            <v>Dense 2</v>
          </cell>
          <cell r="AY120">
            <v>44</v>
          </cell>
          <cell r="AZ120" t="str">
            <v>Dense 2</v>
          </cell>
          <cell r="BA120">
            <v>44</v>
          </cell>
          <cell r="BB120">
            <v>1</v>
          </cell>
          <cell r="BC120" t="str">
            <v>S1Dense 2</v>
          </cell>
        </row>
        <row r="121">
          <cell r="A121" t="str">
            <v>S2</v>
          </cell>
          <cell r="B121" t="str">
            <v>Pasar Modern Timur, BSD</v>
          </cell>
          <cell r="H121">
            <v>0</v>
          </cell>
          <cell r="K121">
            <v>0</v>
          </cell>
          <cell r="L121">
            <v>0</v>
          </cell>
          <cell r="M121">
            <v>0</v>
          </cell>
          <cell r="N121" t="str">
            <v>MH</v>
          </cell>
          <cell r="O121" t="str">
            <v>lanau lempung</v>
          </cell>
          <cell r="T121">
            <v>0</v>
          </cell>
          <cell r="AQ121">
            <v>0</v>
          </cell>
          <cell r="AU121">
            <v>115</v>
          </cell>
          <cell r="AV121" t="str">
            <v>SPT</v>
          </cell>
          <cell r="AW121" t="str">
            <v>MH</v>
          </cell>
          <cell r="AX121" t="str">
            <v>Very Soft</v>
          </cell>
          <cell r="AY121" t="e">
            <v>#DIV/0!</v>
          </cell>
          <cell r="AZ121" t="str">
            <v>undefined</v>
          </cell>
          <cell r="BA121" t="e">
            <v>#DIV/0!</v>
          </cell>
          <cell r="BB121">
            <v>0</v>
          </cell>
          <cell r="BC121" t="str">
            <v>S2undefined</v>
          </cell>
        </row>
        <row r="122">
          <cell r="A122" t="str">
            <v>S2</v>
          </cell>
          <cell r="B122" t="str">
            <v>Pasar Modern Timur, BSD</v>
          </cell>
          <cell r="H122">
            <v>0</v>
          </cell>
          <cell r="K122">
            <v>1</v>
          </cell>
          <cell r="L122">
            <v>3</v>
          </cell>
          <cell r="M122">
            <v>3.6</v>
          </cell>
          <cell r="N122" t="str">
            <v>MH</v>
          </cell>
          <cell r="O122" t="str">
            <v>lanau lempung</v>
          </cell>
          <cell r="T122">
            <v>-1</v>
          </cell>
          <cell r="AQ122">
            <v>3</v>
          </cell>
          <cell r="AU122">
            <v>120</v>
          </cell>
          <cell r="AV122" t="str">
            <v>SPT</v>
          </cell>
          <cell r="AW122" t="str">
            <v>MH</v>
          </cell>
          <cell r="AX122" t="str">
            <v>Soft</v>
          </cell>
          <cell r="AY122">
            <v>3</v>
          </cell>
          <cell r="AZ122" t="str">
            <v>Soft</v>
          </cell>
          <cell r="BA122">
            <v>3</v>
          </cell>
          <cell r="BB122">
            <v>1</v>
          </cell>
          <cell r="BC122" t="str">
            <v>S2Soft</v>
          </cell>
        </row>
        <row r="123">
          <cell r="A123" t="str">
            <v>S2</v>
          </cell>
          <cell r="B123" t="str">
            <v>Pasar Modern Timur, BSD</v>
          </cell>
          <cell r="H123">
            <v>0</v>
          </cell>
          <cell r="K123">
            <v>2</v>
          </cell>
          <cell r="L123">
            <v>3</v>
          </cell>
          <cell r="M123">
            <v>5</v>
          </cell>
          <cell r="N123" t="str">
            <v>SM</v>
          </cell>
          <cell r="O123" t="str">
            <v>pasir lanau</v>
          </cell>
          <cell r="T123">
            <v>-2</v>
          </cell>
          <cell r="AQ123">
            <v>3</v>
          </cell>
          <cell r="AV123" t="str">
            <v>SPT</v>
          </cell>
          <cell r="AW123" t="str">
            <v>MH</v>
          </cell>
          <cell r="AX123" t="str">
            <v>Soft</v>
          </cell>
          <cell r="AY123">
            <v>3</v>
          </cell>
          <cell r="AZ123" t="str">
            <v>Soft</v>
          </cell>
          <cell r="BA123">
            <v>3</v>
          </cell>
          <cell r="BB123">
            <v>1</v>
          </cell>
          <cell r="BC123" t="str">
            <v>S2Soft</v>
          </cell>
        </row>
        <row r="124">
          <cell r="A124" t="str">
            <v>S2</v>
          </cell>
          <cell r="B124" t="str">
            <v>Pasar Modern Timur, BSD</v>
          </cell>
          <cell r="H124">
            <v>0</v>
          </cell>
          <cell r="K124">
            <v>3</v>
          </cell>
          <cell r="L124">
            <v>3</v>
          </cell>
          <cell r="T124">
            <v>-3</v>
          </cell>
          <cell r="AQ124">
            <v>3</v>
          </cell>
          <cell r="AV124" t="str">
            <v>SPT</v>
          </cell>
          <cell r="AW124" t="str">
            <v>MH</v>
          </cell>
          <cell r="AX124" t="str">
            <v>Soft</v>
          </cell>
          <cell r="AY124">
            <v>3</v>
          </cell>
          <cell r="AZ124" t="str">
            <v>Soft</v>
          </cell>
          <cell r="BA124">
            <v>3</v>
          </cell>
          <cell r="BB124">
            <v>1</v>
          </cell>
          <cell r="BC124" t="str">
            <v>S2Soft</v>
          </cell>
        </row>
        <row r="125">
          <cell r="A125" t="str">
            <v>S2</v>
          </cell>
          <cell r="B125" t="str">
            <v>Pasar Modern Timur, BSD</v>
          </cell>
          <cell r="H125">
            <v>0</v>
          </cell>
          <cell r="K125">
            <v>4</v>
          </cell>
          <cell r="L125">
            <v>32</v>
          </cell>
          <cell r="T125">
            <v>-4</v>
          </cell>
          <cell r="AQ125">
            <v>32</v>
          </cell>
          <cell r="AV125" t="str">
            <v>SPT</v>
          </cell>
          <cell r="AW125" t="str">
            <v>SM</v>
          </cell>
          <cell r="AX125" t="str">
            <v>Dense 1</v>
          </cell>
          <cell r="AY125">
            <v>32</v>
          </cell>
          <cell r="AZ125" t="str">
            <v>Dense 1</v>
          </cell>
          <cell r="BA125">
            <v>32</v>
          </cell>
          <cell r="BB125">
            <v>1</v>
          </cell>
          <cell r="BC125" t="str">
            <v>S2Dense 1</v>
          </cell>
        </row>
        <row r="126">
          <cell r="A126" t="str">
            <v>S2</v>
          </cell>
          <cell r="B126" t="str">
            <v>Pasar Modern Timur, BSD</v>
          </cell>
          <cell r="H126">
            <v>0</v>
          </cell>
          <cell r="K126">
            <v>5</v>
          </cell>
          <cell r="L126">
            <v>43</v>
          </cell>
          <cell r="T126">
            <v>-5</v>
          </cell>
          <cell r="AQ126">
            <v>43</v>
          </cell>
          <cell r="AV126" t="str">
            <v>SPT</v>
          </cell>
          <cell r="AW126" t="str">
            <v>SM</v>
          </cell>
          <cell r="AX126" t="str">
            <v>Dense 2</v>
          </cell>
          <cell r="AY126">
            <v>43</v>
          </cell>
          <cell r="AZ126" t="str">
            <v>Dense 2</v>
          </cell>
          <cell r="BA126">
            <v>43</v>
          </cell>
          <cell r="BB126">
            <v>1</v>
          </cell>
          <cell r="BC126" t="str">
            <v>S2Dense 2</v>
          </cell>
        </row>
        <row r="127">
          <cell r="A127" t="str">
            <v>S3</v>
          </cell>
          <cell r="B127" t="str">
            <v>Pasar Modern Timur, BSD</v>
          </cell>
          <cell r="H127">
            <v>0</v>
          </cell>
          <cell r="K127">
            <v>0</v>
          </cell>
          <cell r="L127">
            <v>0</v>
          </cell>
          <cell r="M127">
            <v>0</v>
          </cell>
          <cell r="N127" t="str">
            <v>MH</v>
          </cell>
          <cell r="O127" t="str">
            <v>lanau lempung</v>
          </cell>
          <cell r="T127">
            <v>0</v>
          </cell>
          <cell r="AQ127">
            <v>0</v>
          </cell>
          <cell r="AU127">
            <v>121</v>
          </cell>
          <cell r="AV127" t="str">
            <v>SPT</v>
          </cell>
          <cell r="AW127" t="str">
            <v>MH</v>
          </cell>
          <cell r="AX127" t="str">
            <v>Very Soft</v>
          </cell>
          <cell r="AY127" t="e">
            <v>#DIV/0!</v>
          </cell>
          <cell r="AZ127" t="str">
            <v>undefined</v>
          </cell>
          <cell r="BA127" t="e">
            <v>#DIV/0!</v>
          </cell>
          <cell r="BB127">
            <v>0</v>
          </cell>
          <cell r="BC127" t="str">
            <v>S3undefined</v>
          </cell>
        </row>
        <row r="128">
          <cell r="A128" t="str">
            <v>S3</v>
          </cell>
          <cell r="B128" t="str">
            <v>Pasar Modern Timur, BSD</v>
          </cell>
          <cell r="H128">
            <v>0</v>
          </cell>
          <cell r="K128">
            <v>1</v>
          </cell>
          <cell r="L128">
            <v>4</v>
          </cell>
          <cell r="M128">
            <v>3.4</v>
          </cell>
          <cell r="N128" t="str">
            <v>MH</v>
          </cell>
          <cell r="O128" t="str">
            <v>lanau lempung</v>
          </cell>
          <cell r="T128">
            <v>-1</v>
          </cell>
          <cell r="AQ128">
            <v>4</v>
          </cell>
          <cell r="AU128">
            <v>126</v>
          </cell>
          <cell r="AV128" t="str">
            <v>SPT</v>
          </cell>
          <cell r="AW128" t="str">
            <v>MH</v>
          </cell>
          <cell r="AX128" t="str">
            <v>Medium</v>
          </cell>
          <cell r="AY128">
            <v>4</v>
          </cell>
          <cell r="AZ128" t="str">
            <v>Medium</v>
          </cell>
          <cell r="BA128">
            <v>4</v>
          </cell>
          <cell r="BB128">
            <v>1</v>
          </cell>
          <cell r="BC128" t="str">
            <v>S3Medium</v>
          </cell>
        </row>
        <row r="129">
          <cell r="A129" t="str">
            <v>S3</v>
          </cell>
          <cell r="B129" t="str">
            <v>Pasar Modern Timur, BSD</v>
          </cell>
          <cell r="H129">
            <v>0</v>
          </cell>
          <cell r="K129">
            <v>2</v>
          </cell>
          <cell r="L129">
            <v>3</v>
          </cell>
          <cell r="M129">
            <v>4.4000000000000004</v>
          </cell>
          <cell r="N129" t="str">
            <v>SM</v>
          </cell>
          <cell r="O129" t="str">
            <v>pasir lanau</v>
          </cell>
          <cell r="T129">
            <v>-2</v>
          </cell>
          <cell r="AQ129">
            <v>3</v>
          </cell>
          <cell r="AV129" t="str">
            <v>SPT</v>
          </cell>
          <cell r="AW129" t="str">
            <v>MH</v>
          </cell>
          <cell r="AX129" t="str">
            <v>Soft</v>
          </cell>
          <cell r="AY129">
            <v>3</v>
          </cell>
          <cell r="AZ129" t="str">
            <v>Soft</v>
          </cell>
          <cell r="BA129">
            <v>3</v>
          </cell>
          <cell r="BB129">
            <v>1</v>
          </cell>
          <cell r="BC129" t="str">
            <v>S3Soft</v>
          </cell>
        </row>
        <row r="130">
          <cell r="A130" t="str">
            <v>S3</v>
          </cell>
          <cell r="B130" t="str">
            <v>Pasar Modern Timur, BSD</v>
          </cell>
          <cell r="H130">
            <v>0</v>
          </cell>
          <cell r="K130">
            <v>3</v>
          </cell>
          <cell r="L130">
            <v>9</v>
          </cell>
          <cell r="T130">
            <v>-3</v>
          </cell>
          <cell r="AQ130">
            <v>9</v>
          </cell>
          <cell r="AV130" t="str">
            <v>SPT</v>
          </cell>
          <cell r="AW130" t="str">
            <v>MH</v>
          </cell>
          <cell r="AX130" t="str">
            <v>Stiff</v>
          </cell>
          <cell r="AY130">
            <v>9</v>
          </cell>
          <cell r="AZ130" t="str">
            <v>Stiff</v>
          </cell>
          <cell r="BA130">
            <v>9</v>
          </cell>
          <cell r="BB130">
            <v>1</v>
          </cell>
          <cell r="BC130" t="str">
            <v>S3Stiff</v>
          </cell>
        </row>
        <row r="131">
          <cell r="A131" t="str">
            <v>S3</v>
          </cell>
          <cell r="B131" t="str">
            <v>Pasar Modern Timur, BSD</v>
          </cell>
          <cell r="H131">
            <v>0</v>
          </cell>
          <cell r="K131">
            <v>4</v>
          </cell>
          <cell r="L131">
            <v>34</v>
          </cell>
          <cell r="T131">
            <v>-4</v>
          </cell>
          <cell r="AQ131">
            <v>34</v>
          </cell>
          <cell r="AV131" t="str">
            <v>SPT</v>
          </cell>
          <cell r="AW131" t="str">
            <v>SM</v>
          </cell>
          <cell r="AX131" t="str">
            <v>Dense 1</v>
          </cell>
          <cell r="AY131">
            <v>34</v>
          </cell>
          <cell r="AZ131" t="str">
            <v>Dense 1</v>
          </cell>
          <cell r="BA131">
            <v>34</v>
          </cell>
          <cell r="BB131">
            <v>1</v>
          </cell>
          <cell r="BC131" t="str">
            <v>S3Dense 1</v>
          </cell>
        </row>
        <row r="132">
          <cell r="A132" t="str">
            <v>S3</v>
          </cell>
          <cell r="B132" t="str">
            <v>Pasar Modern Timur, BSD</v>
          </cell>
          <cell r="H132">
            <v>0</v>
          </cell>
          <cell r="K132">
            <v>4.4000000000000004</v>
          </cell>
          <cell r="L132">
            <v>42</v>
          </cell>
          <cell r="T132">
            <v>-4.4000000000000004</v>
          </cell>
          <cell r="AQ132">
            <v>42</v>
          </cell>
          <cell r="AV132" t="str">
            <v>SPT</v>
          </cell>
          <cell r="AW132" t="str">
            <v>SM</v>
          </cell>
          <cell r="AX132" t="str">
            <v>Dense 2</v>
          </cell>
          <cell r="AY132">
            <v>42</v>
          </cell>
          <cell r="AZ132" t="str">
            <v>Dense 2</v>
          </cell>
          <cell r="BA132">
            <v>42</v>
          </cell>
          <cell r="BB132">
            <v>0.40000000000000036</v>
          </cell>
          <cell r="BC132" t="str">
            <v>S3Dense 2</v>
          </cell>
        </row>
        <row r="133">
          <cell r="A133" t="str">
            <v>S4</v>
          </cell>
          <cell r="B133" t="str">
            <v>Pasar Modern Timur, BSD</v>
          </cell>
          <cell r="H133">
            <v>0</v>
          </cell>
          <cell r="K133">
            <v>0</v>
          </cell>
          <cell r="L133">
            <v>0</v>
          </cell>
          <cell r="M133">
            <v>0</v>
          </cell>
          <cell r="N133" t="str">
            <v>MH</v>
          </cell>
          <cell r="O133" t="str">
            <v>lanau lempung</v>
          </cell>
          <cell r="T133">
            <v>0</v>
          </cell>
          <cell r="AQ133">
            <v>0</v>
          </cell>
          <cell r="AU133">
            <v>127</v>
          </cell>
          <cell r="AV133" t="str">
            <v>SPT</v>
          </cell>
          <cell r="AW133" t="str">
            <v>MH</v>
          </cell>
          <cell r="AX133" t="str">
            <v>Very Soft</v>
          </cell>
          <cell r="AY133" t="e">
            <v>#DIV/0!</v>
          </cell>
          <cell r="AZ133" t="str">
            <v>undefined</v>
          </cell>
          <cell r="BA133" t="e">
            <v>#DIV/0!</v>
          </cell>
          <cell r="BB133">
            <v>0</v>
          </cell>
          <cell r="BC133" t="str">
            <v>S4undefined</v>
          </cell>
        </row>
        <row r="134">
          <cell r="A134" t="str">
            <v>S4</v>
          </cell>
          <cell r="B134" t="str">
            <v>Pasar Modern Timur, BSD</v>
          </cell>
          <cell r="H134">
            <v>0</v>
          </cell>
          <cell r="K134">
            <v>1</v>
          </cell>
          <cell r="L134">
            <v>2</v>
          </cell>
          <cell r="M134">
            <v>4</v>
          </cell>
          <cell r="N134" t="str">
            <v>MH</v>
          </cell>
          <cell r="O134" t="str">
            <v>lanau lempung</v>
          </cell>
          <cell r="T134">
            <v>-1</v>
          </cell>
          <cell r="AQ134">
            <v>2</v>
          </cell>
          <cell r="AU134">
            <v>132</v>
          </cell>
          <cell r="AV134" t="str">
            <v>SPT</v>
          </cell>
          <cell r="AW134" t="str">
            <v>MH</v>
          </cell>
          <cell r="AX134" t="str">
            <v>Soft</v>
          </cell>
          <cell r="AY134">
            <v>2.6666666666666665</v>
          </cell>
          <cell r="AZ134" t="str">
            <v>Soft</v>
          </cell>
          <cell r="BA134">
            <v>2</v>
          </cell>
          <cell r="BB134">
            <v>1</v>
          </cell>
          <cell r="BC134" t="str">
            <v>S4Soft</v>
          </cell>
        </row>
        <row r="135">
          <cell r="A135" t="str">
            <v>S4</v>
          </cell>
          <cell r="B135" t="str">
            <v>Pasar Modern Timur, BSD</v>
          </cell>
          <cell r="H135">
            <v>0</v>
          </cell>
          <cell r="K135">
            <v>2</v>
          </cell>
          <cell r="L135">
            <v>3</v>
          </cell>
          <cell r="M135">
            <v>4.5999999999999996</v>
          </cell>
          <cell r="N135" t="str">
            <v>SM</v>
          </cell>
          <cell r="O135" t="str">
            <v>pasir lanau</v>
          </cell>
          <cell r="T135">
            <v>-2</v>
          </cell>
          <cell r="AQ135">
            <v>3</v>
          </cell>
          <cell r="AV135" t="str">
            <v>SPT</v>
          </cell>
          <cell r="AW135" t="str">
            <v>MH</v>
          </cell>
          <cell r="AX135" t="str">
            <v>Soft</v>
          </cell>
          <cell r="AY135">
            <v>2.6666666666666665</v>
          </cell>
          <cell r="AZ135" t="str">
            <v>Soft</v>
          </cell>
          <cell r="BA135">
            <v>2</v>
          </cell>
          <cell r="BB135">
            <v>1</v>
          </cell>
          <cell r="BC135" t="str">
            <v>S4Soft</v>
          </cell>
        </row>
        <row r="136">
          <cell r="A136" t="str">
            <v>S4</v>
          </cell>
          <cell r="B136" t="str">
            <v>Pasar Modern Timur, BSD</v>
          </cell>
          <cell r="H136">
            <v>0</v>
          </cell>
          <cell r="K136">
            <v>3</v>
          </cell>
          <cell r="L136">
            <v>3</v>
          </cell>
          <cell r="T136">
            <v>-3</v>
          </cell>
          <cell r="AQ136">
            <v>3</v>
          </cell>
          <cell r="AV136" t="str">
            <v>SPT</v>
          </cell>
          <cell r="AW136" t="str">
            <v>MH</v>
          </cell>
          <cell r="AX136" t="str">
            <v>Soft</v>
          </cell>
          <cell r="AY136">
            <v>2.6666666666666665</v>
          </cell>
          <cell r="AZ136" t="str">
            <v>Soft</v>
          </cell>
          <cell r="BA136">
            <v>2</v>
          </cell>
          <cell r="BB136">
            <v>1</v>
          </cell>
          <cell r="BC136" t="str">
            <v>S4Soft</v>
          </cell>
        </row>
        <row r="137">
          <cell r="A137" t="str">
            <v>S4</v>
          </cell>
          <cell r="B137" t="str">
            <v>Pasar Modern Timur, BSD</v>
          </cell>
          <cell r="H137">
            <v>0</v>
          </cell>
          <cell r="K137">
            <v>4</v>
          </cell>
          <cell r="L137">
            <v>9</v>
          </cell>
          <cell r="T137">
            <v>-4</v>
          </cell>
          <cell r="AQ137">
            <v>9</v>
          </cell>
          <cell r="AV137" t="str">
            <v>SPT</v>
          </cell>
          <cell r="AW137" t="str">
            <v>SM</v>
          </cell>
          <cell r="AX137" t="str">
            <v>Loose</v>
          </cell>
          <cell r="AY137">
            <v>9</v>
          </cell>
          <cell r="AZ137" t="str">
            <v>Loose</v>
          </cell>
          <cell r="BA137">
            <v>9</v>
          </cell>
          <cell r="BB137">
            <v>1</v>
          </cell>
          <cell r="BC137" t="str">
            <v>S4Loose</v>
          </cell>
        </row>
        <row r="138">
          <cell r="A138" t="str">
            <v>S4</v>
          </cell>
          <cell r="B138" t="str">
            <v>Pasar Modern Timur, BSD</v>
          </cell>
          <cell r="H138">
            <v>0</v>
          </cell>
          <cell r="K138">
            <v>4.5999999999999996</v>
          </cell>
          <cell r="L138">
            <v>40</v>
          </cell>
          <cell r="T138">
            <v>-4.5999999999999996</v>
          </cell>
          <cell r="AQ138">
            <v>40</v>
          </cell>
          <cell r="AV138" t="str">
            <v>SPT</v>
          </cell>
          <cell r="AW138" t="str">
            <v>SM</v>
          </cell>
          <cell r="AX138" t="str">
            <v>Dense 2</v>
          </cell>
          <cell r="AY138">
            <v>40</v>
          </cell>
          <cell r="AZ138" t="str">
            <v>Dense 2</v>
          </cell>
          <cell r="BA138">
            <v>40</v>
          </cell>
          <cell r="BB138">
            <v>0.59999999999999964</v>
          </cell>
          <cell r="BC138" t="str">
            <v>S4Dense 2</v>
          </cell>
        </row>
        <row r="139">
          <cell r="A139" t="str">
            <v>S5</v>
          </cell>
          <cell r="B139" t="str">
            <v>Pasar Modern Timur, BSD</v>
          </cell>
          <cell r="H139">
            <v>0</v>
          </cell>
          <cell r="K139">
            <v>0</v>
          </cell>
          <cell r="L139">
            <v>0</v>
          </cell>
          <cell r="M139">
            <v>0</v>
          </cell>
          <cell r="N139" t="str">
            <v>MH</v>
          </cell>
          <cell r="O139" t="str">
            <v>lanau lempung</v>
          </cell>
          <cell r="T139">
            <v>0</v>
          </cell>
          <cell r="AQ139">
            <v>0</v>
          </cell>
          <cell r="AU139">
            <v>133</v>
          </cell>
          <cell r="AV139" t="str">
            <v>SPT</v>
          </cell>
          <cell r="AW139" t="str">
            <v>MH</v>
          </cell>
          <cell r="AX139" t="str">
            <v>Very Soft</v>
          </cell>
          <cell r="AY139">
            <v>1</v>
          </cell>
          <cell r="AZ139" t="str">
            <v>undefined</v>
          </cell>
          <cell r="BA139" t="e">
            <v>#DIV/0!</v>
          </cell>
          <cell r="BB139">
            <v>0</v>
          </cell>
          <cell r="BC139" t="str">
            <v>S5undefined</v>
          </cell>
        </row>
        <row r="140">
          <cell r="A140" t="str">
            <v>S5</v>
          </cell>
          <cell r="B140" t="str">
            <v>Pasar Modern Timur, BSD</v>
          </cell>
          <cell r="H140">
            <v>0</v>
          </cell>
          <cell r="K140">
            <v>1</v>
          </cell>
          <cell r="L140">
            <v>7</v>
          </cell>
          <cell r="M140">
            <v>3.4</v>
          </cell>
          <cell r="N140" t="str">
            <v>MH</v>
          </cell>
          <cell r="O140" t="str">
            <v>lanau lempung</v>
          </cell>
          <cell r="T140">
            <v>-1</v>
          </cell>
          <cell r="AQ140">
            <v>7</v>
          </cell>
          <cell r="AU140">
            <v>139</v>
          </cell>
          <cell r="AV140" t="str">
            <v>SPT</v>
          </cell>
          <cell r="AW140" t="str">
            <v>MH</v>
          </cell>
          <cell r="AX140" t="str">
            <v>Medium</v>
          </cell>
          <cell r="AY140">
            <v>7</v>
          </cell>
          <cell r="AZ140" t="str">
            <v>Medium</v>
          </cell>
          <cell r="BA140">
            <v>7</v>
          </cell>
          <cell r="BB140">
            <v>1</v>
          </cell>
          <cell r="BC140" t="str">
            <v>S5Medium</v>
          </cell>
        </row>
        <row r="141">
          <cell r="A141" t="str">
            <v>S5</v>
          </cell>
          <cell r="B141" t="str">
            <v>Pasar Modern Timur, BSD</v>
          </cell>
          <cell r="H141">
            <v>0</v>
          </cell>
          <cell r="K141">
            <v>2</v>
          </cell>
          <cell r="L141">
            <v>1</v>
          </cell>
          <cell r="M141">
            <v>5.4</v>
          </cell>
          <cell r="N141" t="str">
            <v>SM</v>
          </cell>
          <cell r="O141" t="str">
            <v>pasir lanau</v>
          </cell>
          <cell r="T141">
            <v>-2</v>
          </cell>
          <cell r="AQ141">
            <v>1</v>
          </cell>
          <cell r="AV141" t="str">
            <v>SPT</v>
          </cell>
          <cell r="AW141" t="str">
            <v>MH</v>
          </cell>
          <cell r="AX141" t="str">
            <v>Very Soft</v>
          </cell>
          <cell r="AY141">
            <v>1</v>
          </cell>
          <cell r="AZ141" t="str">
            <v>Very Soft</v>
          </cell>
          <cell r="BA141">
            <v>1</v>
          </cell>
          <cell r="BB141">
            <v>1</v>
          </cell>
          <cell r="BC141" t="str">
            <v>S5Very Soft</v>
          </cell>
        </row>
        <row r="142">
          <cell r="A142" t="str">
            <v>S5</v>
          </cell>
          <cell r="B142" t="str">
            <v>Pasar Modern Timur, BSD</v>
          </cell>
          <cell r="H142">
            <v>0</v>
          </cell>
          <cell r="K142">
            <v>3</v>
          </cell>
          <cell r="L142">
            <v>8</v>
          </cell>
          <cell r="T142">
            <v>-3</v>
          </cell>
          <cell r="AQ142">
            <v>8</v>
          </cell>
          <cell r="AV142" t="str">
            <v>SPT</v>
          </cell>
          <cell r="AW142" t="str">
            <v>MH</v>
          </cell>
          <cell r="AX142" t="str">
            <v>Stiff</v>
          </cell>
          <cell r="AY142">
            <v>8</v>
          </cell>
          <cell r="AZ142" t="str">
            <v>Stiff</v>
          </cell>
          <cell r="BA142">
            <v>8</v>
          </cell>
          <cell r="BB142">
            <v>1</v>
          </cell>
          <cell r="BC142" t="str">
            <v>S5Stiff</v>
          </cell>
        </row>
        <row r="143">
          <cell r="A143" t="str">
            <v>S5</v>
          </cell>
          <cell r="B143" t="str">
            <v>Pasar Modern Timur, BSD</v>
          </cell>
          <cell r="H143">
            <v>0</v>
          </cell>
          <cell r="K143">
            <v>4</v>
          </cell>
          <cell r="L143">
            <v>19</v>
          </cell>
          <cell r="T143">
            <v>-4</v>
          </cell>
          <cell r="AQ143">
            <v>19</v>
          </cell>
          <cell r="AV143" t="str">
            <v>SPT</v>
          </cell>
          <cell r="AW143" t="str">
            <v>SM</v>
          </cell>
          <cell r="AX143" t="str">
            <v>Medium Dense 1</v>
          </cell>
          <cell r="AY143">
            <v>19</v>
          </cell>
          <cell r="AZ143" t="str">
            <v>Medium Dense 1</v>
          </cell>
          <cell r="BA143">
            <v>19</v>
          </cell>
          <cell r="BB143">
            <v>1</v>
          </cell>
          <cell r="BC143" t="str">
            <v>S5Medium Dense 1</v>
          </cell>
        </row>
        <row r="144">
          <cell r="A144" t="str">
            <v>S5</v>
          </cell>
          <cell r="B144" t="str">
            <v>Pasar Modern Timur, BSD</v>
          </cell>
          <cell r="H144">
            <v>0</v>
          </cell>
          <cell r="K144">
            <v>5</v>
          </cell>
          <cell r="L144">
            <v>33</v>
          </cell>
          <cell r="T144">
            <v>-5</v>
          </cell>
          <cell r="AQ144">
            <v>33</v>
          </cell>
          <cell r="AV144" t="str">
            <v>SPT</v>
          </cell>
          <cell r="AW144" t="str">
            <v>SM</v>
          </cell>
          <cell r="AX144" t="str">
            <v>Dense 1</v>
          </cell>
          <cell r="AY144">
            <v>33</v>
          </cell>
          <cell r="AZ144" t="str">
            <v>Dense 1</v>
          </cell>
          <cell r="BA144">
            <v>33</v>
          </cell>
          <cell r="BB144">
            <v>1</v>
          </cell>
          <cell r="BC144" t="str">
            <v>S5Dense 1</v>
          </cell>
        </row>
        <row r="145">
          <cell r="A145" t="str">
            <v>S5</v>
          </cell>
          <cell r="B145" t="str">
            <v>Pasar Modern Timur, BSD</v>
          </cell>
          <cell r="H145">
            <v>0</v>
          </cell>
          <cell r="K145">
            <v>5.2</v>
          </cell>
          <cell r="L145">
            <v>42</v>
          </cell>
          <cell r="T145">
            <v>-5.2</v>
          </cell>
          <cell r="AQ145">
            <v>42</v>
          </cell>
          <cell r="AV145" t="str">
            <v>SPT</v>
          </cell>
          <cell r="AW145" t="str">
            <v>SM</v>
          </cell>
          <cell r="AX145" t="str">
            <v>Dense 2</v>
          </cell>
          <cell r="AY145">
            <v>42</v>
          </cell>
          <cell r="AZ145" t="str">
            <v>Dense 2</v>
          </cell>
          <cell r="BA145">
            <v>42</v>
          </cell>
          <cell r="BB145">
            <v>0.20000000000000018</v>
          </cell>
          <cell r="BC145" t="str">
            <v>S5Dense 2</v>
          </cell>
        </row>
        <row r="146">
          <cell r="A146" t="str">
            <v>S6</v>
          </cell>
          <cell r="B146" t="str">
            <v>Pasar Modern Timur, BSD</v>
          </cell>
          <cell r="H146">
            <v>0</v>
          </cell>
          <cell r="K146">
            <v>0</v>
          </cell>
          <cell r="L146">
            <v>0</v>
          </cell>
          <cell r="M146">
            <v>0</v>
          </cell>
          <cell r="N146" t="str">
            <v>MH</v>
          </cell>
          <cell r="O146" t="str">
            <v>lanau lempung</v>
          </cell>
          <cell r="T146">
            <v>0</v>
          </cell>
          <cell r="AQ146">
            <v>0</v>
          </cell>
          <cell r="AU146">
            <v>140</v>
          </cell>
          <cell r="AV146" t="str">
            <v>SPT</v>
          </cell>
          <cell r="AW146" t="str">
            <v>MH</v>
          </cell>
          <cell r="AX146" t="str">
            <v>Very Soft</v>
          </cell>
          <cell r="AY146" t="e">
            <v>#DIV/0!</v>
          </cell>
          <cell r="AZ146" t="str">
            <v>undefined</v>
          </cell>
          <cell r="BA146" t="e">
            <v>#DIV/0!</v>
          </cell>
          <cell r="BB146">
            <v>0</v>
          </cell>
          <cell r="BC146" t="str">
            <v>S6undefined</v>
          </cell>
        </row>
        <row r="147">
          <cell r="A147" t="str">
            <v>S6</v>
          </cell>
          <cell r="B147" t="str">
            <v>Pasar Modern Timur, BSD</v>
          </cell>
          <cell r="H147">
            <v>0</v>
          </cell>
          <cell r="K147">
            <v>1</v>
          </cell>
          <cell r="L147">
            <v>9</v>
          </cell>
          <cell r="M147">
            <v>3.8</v>
          </cell>
          <cell r="N147" t="str">
            <v>MH</v>
          </cell>
          <cell r="O147" t="str">
            <v>lanau lempung</v>
          </cell>
          <cell r="T147">
            <v>-1</v>
          </cell>
          <cell r="AQ147">
            <v>9</v>
          </cell>
          <cell r="AU147">
            <v>146</v>
          </cell>
          <cell r="AV147" t="str">
            <v>SPT</v>
          </cell>
          <cell r="AW147" t="str">
            <v>MH</v>
          </cell>
          <cell r="AX147" t="str">
            <v>Stiff</v>
          </cell>
          <cell r="AY147">
            <v>9</v>
          </cell>
          <cell r="AZ147" t="str">
            <v>Stiff</v>
          </cell>
          <cell r="BA147">
            <v>9</v>
          </cell>
          <cell r="BB147">
            <v>1</v>
          </cell>
          <cell r="BC147" t="str">
            <v>S6Stiff</v>
          </cell>
        </row>
        <row r="148">
          <cell r="A148" t="str">
            <v>S6</v>
          </cell>
          <cell r="B148" t="str">
            <v>Pasar Modern Timur, BSD</v>
          </cell>
          <cell r="H148">
            <v>0</v>
          </cell>
          <cell r="K148">
            <v>2</v>
          </cell>
          <cell r="L148">
            <v>7</v>
          </cell>
          <cell r="M148">
            <v>5.6</v>
          </cell>
          <cell r="N148" t="str">
            <v>SM</v>
          </cell>
          <cell r="O148" t="str">
            <v>pasir lanau</v>
          </cell>
          <cell r="T148">
            <v>-2</v>
          </cell>
          <cell r="AQ148">
            <v>7</v>
          </cell>
          <cell r="AV148" t="str">
            <v>SPT</v>
          </cell>
          <cell r="AW148" t="str">
            <v>MH</v>
          </cell>
          <cell r="AX148" t="str">
            <v>Medium</v>
          </cell>
          <cell r="AY148">
            <v>6</v>
          </cell>
          <cell r="AZ148" t="str">
            <v>Medium</v>
          </cell>
          <cell r="BA148">
            <v>6</v>
          </cell>
          <cell r="BB148">
            <v>1</v>
          </cell>
          <cell r="BC148" t="str">
            <v>S6Medium</v>
          </cell>
        </row>
        <row r="149">
          <cell r="A149" t="str">
            <v>S6</v>
          </cell>
          <cell r="B149" t="str">
            <v>Pasar Modern Timur, BSD</v>
          </cell>
          <cell r="H149">
            <v>0</v>
          </cell>
          <cell r="K149">
            <v>3</v>
          </cell>
          <cell r="L149">
            <v>5</v>
          </cell>
          <cell r="T149">
            <v>-3</v>
          </cell>
          <cell r="AQ149">
            <v>5</v>
          </cell>
          <cell r="AV149" t="str">
            <v>SPT</v>
          </cell>
          <cell r="AW149" t="str">
            <v>MH</v>
          </cell>
          <cell r="AX149" t="str">
            <v>Medium</v>
          </cell>
          <cell r="AY149">
            <v>6</v>
          </cell>
          <cell r="AZ149" t="str">
            <v>Medium</v>
          </cell>
          <cell r="BA149">
            <v>6</v>
          </cell>
          <cell r="BB149">
            <v>1</v>
          </cell>
          <cell r="BC149" t="str">
            <v>S6Medium</v>
          </cell>
        </row>
        <row r="150">
          <cell r="A150" t="str">
            <v>S6</v>
          </cell>
          <cell r="B150" t="str">
            <v>Pasar Modern Timur, BSD</v>
          </cell>
          <cell r="H150">
            <v>0</v>
          </cell>
          <cell r="K150">
            <v>4</v>
          </cell>
          <cell r="L150">
            <v>23</v>
          </cell>
          <cell r="T150">
            <v>-4</v>
          </cell>
          <cell r="AQ150">
            <v>23</v>
          </cell>
          <cell r="AV150" t="str">
            <v>SPT</v>
          </cell>
          <cell r="AW150" t="str">
            <v>SM</v>
          </cell>
          <cell r="AX150" t="str">
            <v>Medium Dense 2</v>
          </cell>
          <cell r="AY150">
            <v>23</v>
          </cell>
          <cell r="AZ150" t="str">
            <v>Medium Dense 2</v>
          </cell>
          <cell r="BA150">
            <v>23</v>
          </cell>
          <cell r="BB150">
            <v>1</v>
          </cell>
          <cell r="BC150" t="str">
            <v>S6Medium Dense 2</v>
          </cell>
        </row>
        <row r="151">
          <cell r="A151" t="str">
            <v>S6</v>
          </cell>
          <cell r="B151" t="str">
            <v>Pasar Modern Timur, BSD</v>
          </cell>
          <cell r="H151">
            <v>0</v>
          </cell>
          <cell r="K151">
            <v>5</v>
          </cell>
          <cell r="L151">
            <v>31</v>
          </cell>
          <cell r="T151">
            <v>-5</v>
          </cell>
          <cell r="AQ151">
            <v>31</v>
          </cell>
          <cell r="AV151" t="str">
            <v>SPT</v>
          </cell>
          <cell r="AW151" t="str">
            <v>SM</v>
          </cell>
          <cell r="AX151" t="str">
            <v>Dense 1</v>
          </cell>
          <cell r="AY151">
            <v>31</v>
          </cell>
          <cell r="AZ151" t="str">
            <v>Dense 1</v>
          </cell>
          <cell r="BA151">
            <v>31</v>
          </cell>
          <cell r="BB151">
            <v>1</v>
          </cell>
          <cell r="BC151" t="str">
            <v>S6Dense 1</v>
          </cell>
        </row>
        <row r="152">
          <cell r="A152" t="str">
            <v>S6</v>
          </cell>
          <cell r="B152" t="str">
            <v>Pasar Modern Timur, BSD</v>
          </cell>
          <cell r="H152">
            <v>0</v>
          </cell>
          <cell r="K152">
            <v>5.6</v>
          </cell>
          <cell r="L152">
            <v>41</v>
          </cell>
          <cell r="T152">
            <v>-5.6</v>
          </cell>
          <cell r="AQ152">
            <v>41</v>
          </cell>
          <cell r="AV152" t="str">
            <v>SPT</v>
          </cell>
          <cell r="AW152" t="str">
            <v>SM</v>
          </cell>
          <cell r="AX152" t="str">
            <v>Dense 2</v>
          </cell>
          <cell r="AY152">
            <v>41</v>
          </cell>
          <cell r="AZ152" t="str">
            <v>Dense 2</v>
          </cell>
          <cell r="BA152">
            <v>41</v>
          </cell>
          <cell r="BB152">
            <v>0.59999999999999964</v>
          </cell>
          <cell r="BC152" t="str">
            <v>S6Dense 2</v>
          </cell>
        </row>
        <row r="153">
          <cell r="A153" t="str">
            <v>S7</v>
          </cell>
          <cell r="B153" t="str">
            <v>Pasar Modern Timur, BSD</v>
          </cell>
          <cell r="H153">
            <v>0</v>
          </cell>
          <cell r="K153">
            <v>0</v>
          </cell>
          <cell r="L153">
            <v>0</v>
          </cell>
          <cell r="M153">
            <v>0</v>
          </cell>
          <cell r="N153" t="str">
            <v>MH</v>
          </cell>
          <cell r="O153" t="str">
            <v>lanau lempung</v>
          </cell>
          <cell r="T153">
            <v>0</v>
          </cell>
          <cell r="AQ153">
            <v>0</v>
          </cell>
          <cell r="AU153">
            <v>147</v>
          </cell>
          <cell r="AV153" t="str">
            <v>SPT</v>
          </cell>
          <cell r="AW153" t="str">
            <v>MH</v>
          </cell>
          <cell r="AX153" t="str">
            <v>Very Soft</v>
          </cell>
          <cell r="AY153" t="e">
            <v>#DIV/0!</v>
          </cell>
          <cell r="AZ153" t="str">
            <v>undefined</v>
          </cell>
          <cell r="BA153" t="e">
            <v>#DIV/0!</v>
          </cell>
          <cell r="BB153">
            <v>0</v>
          </cell>
          <cell r="BC153" t="str">
            <v>S7undefined</v>
          </cell>
        </row>
        <row r="154">
          <cell r="A154" t="str">
            <v>S7</v>
          </cell>
          <cell r="B154" t="str">
            <v>Pasar Modern Timur, BSD</v>
          </cell>
          <cell r="H154">
            <v>0</v>
          </cell>
          <cell r="K154">
            <v>1</v>
          </cell>
          <cell r="L154">
            <v>4</v>
          </cell>
          <cell r="M154">
            <v>5.2</v>
          </cell>
          <cell r="N154" t="str">
            <v>MH</v>
          </cell>
          <cell r="O154" t="str">
            <v>lanau lempung</v>
          </cell>
          <cell r="T154">
            <v>-1</v>
          </cell>
          <cell r="AQ154">
            <v>4</v>
          </cell>
          <cell r="AU154">
            <v>153</v>
          </cell>
          <cell r="AV154" t="str">
            <v>SPT</v>
          </cell>
          <cell r="AW154" t="str">
            <v>MH</v>
          </cell>
          <cell r="AX154" t="str">
            <v>Medium</v>
          </cell>
          <cell r="AY154">
            <v>4.5</v>
          </cell>
          <cell r="AZ154" t="str">
            <v>Medium</v>
          </cell>
          <cell r="BA154">
            <v>4</v>
          </cell>
          <cell r="BB154">
            <v>1</v>
          </cell>
          <cell r="BC154" t="str">
            <v>S7Medium</v>
          </cell>
        </row>
        <row r="155">
          <cell r="A155" t="str">
            <v>S7</v>
          </cell>
          <cell r="B155" t="str">
            <v>Pasar Modern Timur, BSD</v>
          </cell>
          <cell r="H155">
            <v>0</v>
          </cell>
          <cell r="K155">
            <v>2</v>
          </cell>
          <cell r="L155">
            <v>5</v>
          </cell>
          <cell r="M155">
            <v>6</v>
          </cell>
          <cell r="N155" t="str">
            <v>SM</v>
          </cell>
          <cell r="O155" t="str">
            <v>pasir lanau</v>
          </cell>
          <cell r="T155">
            <v>-2</v>
          </cell>
          <cell r="AQ155">
            <v>5</v>
          </cell>
          <cell r="AV155" t="str">
            <v>SPT</v>
          </cell>
          <cell r="AW155" t="str">
            <v>MH</v>
          </cell>
          <cell r="AX155" t="str">
            <v>Medium</v>
          </cell>
          <cell r="AY155">
            <v>4.5</v>
          </cell>
          <cell r="AZ155" t="str">
            <v>Medium</v>
          </cell>
          <cell r="BA155">
            <v>4</v>
          </cell>
          <cell r="BB155">
            <v>1</v>
          </cell>
          <cell r="BC155" t="str">
            <v>S7Medium</v>
          </cell>
        </row>
        <row r="156">
          <cell r="A156" t="str">
            <v>S7</v>
          </cell>
          <cell r="B156" t="str">
            <v>Pasar Modern Timur, BSD</v>
          </cell>
          <cell r="H156">
            <v>0</v>
          </cell>
          <cell r="K156">
            <v>3</v>
          </cell>
          <cell r="L156">
            <v>8</v>
          </cell>
          <cell r="T156">
            <v>-3</v>
          </cell>
          <cell r="AQ156">
            <v>8</v>
          </cell>
          <cell r="AV156" t="str">
            <v>SPT</v>
          </cell>
          <cell r="AW156" t="str">
            <v>MH</v>
          </cell>
          <cell r="AX156" t="str">
            <v>Stiff</v>
          </cell>
          <cell r="AY156">
            <v>9</v>
          </cell>
          <cell r="AZ156" t="str">
            <v>Stiff</v>
          </cell>
          <cell r="BA156">
            <v>9</v>
          </cell>
          <cell r="BB156">
            <v>1</v>
          </cell>
          <cell r="BC156" t="str">
            <v>S7Stiff</v>
          </cell>
        </row>
        <row r="157">
          <cell r="A157" t="str">
            <v>S7</v>
          </cell>
          <cell r="B157" t="str">
            <v>Pasar Modern Timur, BSD</v>
          </cell>
          <cell r="H157">
            <v>0</v>
          </cell>
          <cell r="K157">
            <v>4</v>
          </cell>
          <cell r="L157">
            <v>9</v>
          </cell>
          <cell r="T157">
            <v>-4</v>
          </cell>
          <cell r="AQ157">
            <v>9</v>
          </cell>
          <cell r="AV157" t="str">
            <v>SPT</v>
          </cell>
          <cell r="AW157" t="str">
            <v>MH</v>
          </cell>
          <cell r="AX157" t="str">
            <v>Stiff</v>
          </cell>
          <cell r="AY157">
            <v>9</v>
          </cell>
          <cell r="AZ157" t="str">
            <v>Stiff</v>
          </cell>
          <cell r="BA157">
            <v>9</v>
          </cell>
          <cell r="BB157">
            <v>1</v>
          </cell>
          <cell r="BC157" t="str">
            <v>S7Stiff</v>
          </cell>
        </row>
        <row r="158">
          <cell r="A158" t="str">
            <v>S7</v>
          </cell>
          <cell r="B158" t="str">
            <v>Pasar Modern Timur, BSD</v>
          </cell>
          <cell r="H158">
            <v>0</v>
          </cell>
          <cell r="K158">
            <v>5</v>
          </cell>
          <cell r="L158">
            <v>10</v>
          </cell>
          <cell r="T158">
            <v>-5</v>
          </cell>
          <cell r="AQ158">
            <v>10</v>
          </cell>
          <cell r="AV158" t="str">
            <v>SPT</v>
          </cell>
          <cell r="AW158" t="str">
            <v>MH</v>
          </cell>
          <cell r="AX158" t="str">
            <v>Stiff</v>
          </cell>
          <cell r="AY158">
            <v>9</v>
          </cell>
          <cell r="AZ158" t="str">
            <v>Stiff</v>
          </cell>
          <cell r="BA158">
            <v>9</v>
          </cell>
          <cell r="BB158">
            <v>1</v>
          </cell>
          <cell r="BC158" t="str">
            <v>S7Stiff</v>
          </cell>
        </row>
        <row r="159">
          <cell r="A159" t="str">
            <v>S7</v>
          </cell>
          <cell r="B159" t="str">
            <v>Pasar Modern Timur, BSD</v>
          </cell>
          <cell r="H159">
            <v>0</v>
          </cell>
          <cell r="K159">
            <v>6</v>
          </cell>
          <cell r="L159">
            <v>44</v>
          </cell>
          <cell r="T159">
            <v>-6</v>
          </cell>
          <cell r="AQ159">
            <v>44</v>
          </cell>
          <cell r="AV159" t="str">
            <v>SPT</v>
          </cell>
          <cell r="AW159" t="str">
            <v>SM</v>
          </cell>
          <cell r="AX159" t="str">
            <v>Dense 2</v>
          </cell>
          <cell r="AY159">
            <v>44</v>
          </cell>
          <cell r="AZ159" t="str">
            <v>Dense 2</v>
          </cell>
          <cell r="BA159">
            <v>44</v>
          </cell>
          <cell r="BB159">
            <v>1</v>
          </cell>
          <cell r="BC159" t="str">
            <v>S7Dense 2</v>
          </cell>
        </row>
        <row r="160">
          <cell r="A160" t="str">
            <v>S8</v>
          </cell>
          <cell r="B160" t="str">
            <v>Pasar Modern Timur, BSD</v>
          </cell>
          <cell r="H160">
            <v>0</v>
          </cell>
          <cell r="K160">
            <v>0</v>
          </cell>
          <cell r="L160">
            <v>0</v>
          </cell>
          <cell r="M160">
            <v>0</v>
          </cell>
          <cell r="N160" t="str">
            <v>MH</v>
          </cell>
          <cell r="O160" t="str">
            <v>lanau lempung</v>
          </cell>
          <cell r="T160">
            <v>0</v>
          </cell>
          <cell r="AQ160">
            <v>0</v>
          </cell>
          <cell r="AU160">
            <v>154</v>
          </cell>
          <cell r="AV160" t="str">
            <v>SPT</v>
          </cell>
          <cell r="AW160" t="str">
            <v>MH</v>
          </cell>
          <cell r="AX160" t="str">
            <v>Very Soft</v>
          </cell>
          <cell r="AY160" t="e">
            <v>#DIV/0!</v>
          </cell>
          <cell r="AZ160" t="str">
            <v>undefined</v>
          </cell>
          <cell r="BA160" t="e">
            <v>#DIV/0!</v>
          </cell>
          <cell r="BB160">
            <v>0</v>
          </cell>
          <cell r="BC160" t="str">
            <v>S8undefined</v>
          </cell>
        </row>
        <row r="161">
          <cell r="A161" t="str">
            <v>S8</v>
          </cell>
          <cell r="B161" t="str">
            <v>Pasar Modern Timur, BSD</v>
          </cell>
          <cell r="H161">
            <v>0</v>
          </cell>
          <cell r="K161">
            <v>1</v>
          </cell>
          <cell r="L161">
            <v>3</v>
          </cell>
          <cell r="M161">
            <v>7.8</v>
          </cell>
          <cell r="N161" t="str">
            <v>MH</v>
          </cell>
          <cell r="O161" t="str">
            <v>lanau lempung</v>
          </cell>
          <cell r="T161">
            <v>-1</v>
          </cell>
          <cell r="AQ161">
            <v>3</v>
          </cell>
          <cell r="AU161">
            <v>163</v>
          </cell>
          <cell r="AV161" t="str">
            <v>SPT</v>
          </cell>
          <cell r="AW161" t="str">
            <v>MH</v>
          </cell>
          <cell r="AX161" t="str">
            <v>Soft</v>
          </cell>
          <cell r="AY161">
            <v>3</v>
          </cell>
          <cell r="AZ161" t="str">
            <v>Soft</v>
          </cell>
          <cell r="BA161">
            <v>3</v>
          </cell>
          <cell r="BB161">
            <v>1</v>
          </cell>
          <cell r="BC161" t="str">
            <v>S8Soft</v>
          </cell>
        </row>
        <row r="162">
          <cell r="A162" t="str">
            <v>S8</v>
          </cell>
          <cell r="B162" t="str">
            <v>Pasar Modern Timur, BSD</v>
          </cell>
          <cell r="H162">
            <v>0</v>
          </cell>
          <cell r="K162">
            <v>2</v>
          </cell>
          <cell r="L162">
            <v>5</v>
          </cell>
          <cell r="M162">
            <v>9</v>
          </cell>
          <cell r="N162" t="str">
            <v>SM</v>
          </cell>
          <cell r="O162" t="str">
            <v>pasir lanau</v>
          </cell>
          <cell r="T162">
            <v>-2</v>
          </cell>
          <cell r="AQ162">
            <v>5</v>
          </cell>
          <cell r="AV162" t="str">
            <v>SPT</v>
          </cell>
          <cell r="AW162" t="str">
            <v>MH</v>
          </cell>
          <cell r="AX162" t="str">
            <v>Medium</v>
          </cell>
          <cell r="AY162">
            <v>4.75</v>
          </cell>
          <cell r="AZ162" t="str">
            <v>Medium</v>
          </cell>
          <cell r="BA162">
            <v>4</v>
          </cell>
          <cell r="BB162">
            <v>1</v>
          </cell>
          <cell r="BC162" t="str">
            <v>S8Medium</v>
          </cell>
        </row>
        <row r="163">
          <cell r="A163" t="str">
            <v>S8</v>
          </cell>
          <cell r="B163" t="str">
            <v>Pasar Modern Timur, BSD</v>
          </cell>
          <cell r="H163">
            <v>0</v>
          </cell>
          <cell r="K163">
            <v>3</v>
          </cell>
          <cell r="L163">
            <v>4</v>
          </cell>
          <cell r="T163">
            <v>-3</v>
          </cell>
          <cell r="AQ163">
            <v>4</v>
          </cell>
          <cell r="AV163" t="str">
            <v>SPT</v>
          </cell>
          <cell r="AW163" t="str">
            <v>MH</v>
          </cell>
          <cell r="AX163" t="str">
            <v>Medium</v>
          </cell>
          <cell r="AY163">
            <v>4.75</v>
          </cell>
          <cell r="AZ163" t="str">
            <v>Medium</v>
          </cell>
          <cell r="BA163">
            <v>4</v>
          </cell>
          <cell r="BB163">
            <v>1</v>
          </cell>
          <cell r="BC163" t="str">
            <v>S8Medium</v>
          </cell>
        </row>
        <row r="164">
          <cell r="A164" t="str">
            <v>S8</v>
          </cell>
          <cell r="B164" t="str">
            <v>Pasar Modern Timur, BSD</v>
          </cell>
          <cell r="H164">
            <v>0</v>
          </cell>
          <cell r="K164">
            <v>4</v>
          </cell>
          <cell r="L164">
            <v>4</v>
          </cell>
          <cell r="T164">
            <v>-4</v>
          </cell>
          <cell r="AQ164">
            <v>4</v>
          </cell>
          <cell r="AV164" t="str">
            <v>SPT</v>
          </cell>
          <cell r="AW164" t="str">
            <v>MH</v>
          </cell>
          <cell r="AX164" t="str">
            <v>Medium</v>
          </cell>
          <cell r="AY164">
            <v>4.75</v>
          </cell>
          <cell r="AZ164" t="str">
            <v>Medium</v>
          </cell>
          <cell r="BA164">
            <v>4</v>
          </cell>
          <cell r="BB164">
            <v>1</v>
          </cell>
          <cell r="BC164" t="str">
            <v>S8Medium</v>
          </cell>
        </row>
        <row r="165">
          <cell r="A165" t="str">
            <v>S8</v>
          </cell>
          <cell r="B165" t="str">
            <v>Pasar Modern Timur, BSD</v>
          </cell>
          <cell r="H165">
            <v>0</v>
          </cell>
          <cell r="K165">
            <v>5</v>
          </cell>
          <cell r="L165">
            <v>8</v>
          </cell>
          <cell r="T165">
            <v>-5</v>
          </cell>
          <cell r="AQ165">
            <v>8</v>
          </cell>
          <cell r="AV165" t="str">
            <v>SPT</v>
          </cell>
          <cell r="AW165" t="str">
            <v>MH</v>
          </cell>
          <cell r="AX165" t="str">
            <v>Stiff</v>
          </cell>
          <cell r="AY165">
            <v>8</v>
          </cell>
          <cell r="AZ165" t="str">
            <v>Stiff</v>
          </cell>
          <cell r="BA165">
            <v>8</v>
          </cell>
          <cell r="BB165">
            <v>1</v>
          </cell>
          <cell r="BC165" t="str">
            <v>S8Stiff</v>
          </cell>
        </row>
        <row r="166">
          <cell r="A166" t="str">
            <v>S8</v>
          </cell>
          <cell r="B166" t="str">
            <v>Pasar Modern Timur, BSD</v>
          </cell>
          <cell r="H166">
            <v>0</v>
          </cell>
          <cell r="K166">
            <v>6</v>
          </cell>
          <cell r="L166">
            <v>8</v>
          </cell>
          <cell r="T166">
            <v>-6</v>
          </cell>
          <cell r="AQ166">
            <v>8</v>
          </cell>
          <cell r="AV166" t="str">
            <v>SPT</v>
          </cell>
          <cell r="AW166" t="str">
            <v>MH</v>
          </cell>
          <cell r="AX166" t="str">
            <v>Stiff</v>
          </cell>
          <cell r="AY166">
            <v>8</v>
          </cell>
          <cell r="AZ166" t="str">
            <v>Stiff</v>
          </cell>
          <cell r="BA166">
            <v>8</v>
          </cell>
          <cell r="BB166">
            <v>1</v>
          </cell>
          <cell r="BC166" t="str">
            <v>S8Stiff</v>
          </cell>
        </row>
        <row r="167">
          <cell r="A167" t="str">
            <v>S8</v>
          </cell>
          <cell r="B167" t="str">
            <v>Pasar Modern Timur, BSD</v>
          </cell>
          <cell r="H167">
            <v>0</v>
          </cell>
          <cell r="K167">
            <v>7</v>
          </cell>
          <cell r="L167">
            <v>6</v>
          </cell>
          <cell r="T167">
            <v>-7</v>
          </cell>
          <cell r="AQ167">
            <v>6</v>
          </cell>
          <cell r="AV167" t="str">
            <v>SPT</v>
          </cell>
          <cell r="AW167" t="str">
            <v>MH</v>
          </cell>
          <cell r="AX167" t="str">
            <v>Medium</v>
          </cell>
          <cell r="AY167">
            <v>4.75</v>
          </cell>
          <cell r="AZ167" t="str">
            <v>Medium</v>
          </cell>
          <cell r="BA167">
            <v>4</v>
          </cell>
          <cell r="BB167">
            <v>1</v>
          </cell>
          <cell r="BC167" t="str">
            <v>S8Medium</v>
          </cell>
        </row>
        <row r="168">
          <cell r="A168" t="str">
            <v>S8</v>
          </cell>
          <cell r="B168" t="str">
            <v>Pasar Modern Timur, BSD</v>
          </cell>
          <cell r="H168">
            <v>0</v>
          </cell>
          <cell r="K168">
            <v>8</v>
          </cell>
          <cell r="L168">
            <v>20</v>
          </cell>
          <cell r="T168">
            <v>-8</v>
          </cell>
          <cell r="AQ168">
            <v>20</v>
          </cell>
          <cell r="AV168" t="str">
            <v>SPT</v>
          </cell>
          <cell r="AW168" t="str">
            <v>SM</v>
          </cell>
          <cell r="AX168" t="str">
            <v>Medium Dense 2</v>
          </cell>
          <cell r="AY168">
            <v>20</v>
          </cell>
          <cell r="AZ168" t="str">
            <v>Medium Dense 2</v>
          </cell>
          <cell r="BA168">
            <v>20</v>
          </cell>
          <cell r="BB168">
            <v>1</v>
          </cell>
          <cell r="BC168" t="str">
            <v>S8Medium Dense 2</v>
          </cell>
        </row>
        <row r="169">
          <cell r="A169" t="str">
            <v>S8</v>
          </cell>
          <cell r="B169" t="str">
            <v>Pasar Modern Timur, BSD</v>
          </cell>
          <cell r="H169">
            <v>0</v>
          </cell>
          <cell r="K169">
            <v>9</v>
          </cell>
          <cell r="L169">
            <v>44</v>
          </cell>
          <cell r="T169">
            <v>-9</v>
          </cell>
          <cell r="AQ169">
            <v>44</v>
          </cell>
          <cell r="AV169" t="str">
            <v>SPT</v>
          </cell>
          <cell r="AW169" t="str">
            <v>SM</v>
          </cell>
          <cell r="AX169" t="str">
            <v>Dense 2</v>
          </cell>
          <cell r="AY169">
            <v>44</v>
          </cell>
          <cell r="AZ169" t="str">
            <v>Dense 2</v>
          </cell>
          <cell r="BA169">
            <v>44</v>
          </cell>
          <cell r="BB169">
            <v>1</v>
          </cell>
          <cell r="BC169" t="str">
            <v>S8Dense 2</v>
          </cell>
        </row>
        <row r="170">
          <cell r="A170" t="str">
            <v>S9</v>
          </cell>
          <cell r="B170" t="str">
            <v>Pasar Modern Timur, BSD</v>
          </cell>
          <cell r="H170">
            <v>0</v>
          </cell>
          <cell r="K170">
            <v>0</v>
          </cell>
          <cell r="L170">
            <v>0</v>
          </cell>
          <cell r="M170">
            <v>0</v>
          </cell>
          <cell r="N170" t="str">
            <v>MH</v>
          </cell>
          <cell r="O170" t="str">
            <v>lanau lempung</v>
          </cell>
          <cell r="T170">
            <v>0</v>
          </cell>
          <cell r="AQ170">
            <v>0</v>
          </cell>
          <cell r="AU170">
            <v>164</v>
          </cell>
          <cell r="AV170" t="str">
            <v>SPT</v>
          </cell>
          <cell r="AW170" t="str">
            <v>MH</v>
          </cell>
          <cell r="AX170" t="str">
            <v>Very Soft</v>
          </cell>
          <cell r="AY170" t="e">
            <v>#DIV/0!</v>
          </cell>
          <cell r="AZ170" t="str">
            <v>undefined</v>
          </cell>
          <cell r="BA170" t="e">
            <v>#DIV/0!</v>
          </cell>
          <cell r="BB170">
            <v>0</v>
          </cell>
          <cell r="BC170" t="str">
            <v>S9undefined</v>
          </cell>
        </row>
        <row r="171">
          <cell r="A171" t="str">
            <v>S9</v>
          </cell>
          <cell r="B171" t="str">
            <v>Pasar Modern Timur, BSD</v>
          </cell>
          <cell r="H171">
            <v>0</v>
          </cell>
          <cell r="K171">
            <v>1</v>
          </cell>
          <cell r="L171">
            <v>6</v>
          </cell>
          <cell r="M171">
            <v>10.6</v>
          </cell>
          <cell r="N171" t="str">
            <v>MH</v>
          </cell>
          <cell r="O171" t="str">
            <v>lanau lempung</v>
          </cell>
          <cell r="T171">
            <v>-1</v>
          </cell>
          <cell r="AQ171">
            <v>6</v>
          </cell>
          <cell r="AU171">
            <v>176</v>
          </cell>
          <cell r="AV171" t="str">
            <v>SPT</v>
          </cell>
          <cell r="AW171" t="str">
            <v>MH</v>
          </cell>
          <cell r="AX171" t="str">
            <v>Medium</v>
          </cell>
          <cell r="AY171">
            <v>5.166666666666667</v>
          </cell>
          <cell r="AZ171" t="str">
            <v>Medium</v>
          </cell>
          <cell r="BA171">
            <v>5</v>
          </cell>
          <cell r="BB171">
            <v>1</v>
          </cell>
          <cell r="BC171" t="str">
            <v>S9Medium</v>
          </cell>
        </row>
        <row r="172">
          <cell r="A172" t="str">
            <v>S9</v>
          </cell>
          <cell r="B172" t="str">
            <v>Pasar Modern Timur, BSD</v>
          </cell>
          <cell r="H172">
            <v>0</v>
          </cell>
          <cell r="K172">
            <v>2</v>
          </cell>
          <cell r="L172">
            <v>6</v>
          </cell>
          <cell r="M172">
            <v>12</v>
          </cell>
          <cell r="N172" t="str">
            <v>SM</v>
          </cell>
          <cell r="O172" t="str">
            <v>pasir lanau</v>
          </cell>
          <cell r="T172">
            <v>-2</v>
          </cell>
          <cell r="AQ172">
            <v>6</v>
          </cell>
          <cell r="AV172" t="str">
            <v>SPT</v>
          </cell>
          <cell r="AW172" t="str">
            <v>MH</v>
          </cell>
          <cell r="AX172" t="str">
            <v>Medium</v>
          </cell>
          <cell r="AY172">
            <v>5.166666666666667</v>
          </cell>
          <cell r="AZ172" t="str">
            <v>Medium</v>
          </cell>
          <cell r="BA172">
            <v>5</v>
          </cell>
          <cell r="BB172">
            <v>1</v>
          </cell>
          <cell r="BC172" t="str">
            <v>S9Medium</v>
          </cell>
        </row>
        <row r="173">
          <cell r="A173" t="str">
            <v>S9</v>
          </cell>
          <cell r="B173" t="str">
            <v>Pasar Modern Timur, BSD</v>
          </cell>
          <cell r="H173">
            <v>0</v>
          </cell>
          <cell r="K173">
            <v>3</v>
          </cell>
          <cell r="L173">
            <v>5</v>
          </cell>
          <cell r="T173">
            <v>-3</v>
          </cell>
          <cell r="AQ173">
            <v>5</v>
          </cell>
          <cell r="AV173" t="str">
            <v>SPT</v>
          </cell>
          <cell r="AW173" t="str">
            <v>MH</v>
          </cell>
          <cell r="AX173" t="str">
            <v>Medium</v>
          </cell>
          <cell r="AY173">
            <v>5.166666666666667</v>
          </cell>
          <cell r="AZ173" t="str">
            <v>Medium</v>
          </cell>
          <cell r="BA173">
            <v>5</v>
          </cell>
          <cell r="BB173">
            <v>1</v>
          </cell>
          <cell r="BC173" t="str">
            <v>S9Medium</v>
          </cell>
        </row>
        <row r="174">
          <cell r="A174" t="str">
            <v>S9</v>
          </cell>
          <cell r="B174" t="str">
            <v>Pasar Modern Timur, BSD</v>
          </cell>
          <cell r="H174">
            <v>0</v>
          </cell>
          <cell r="K174">
            <v>4</v>
          </cell>
          <cell r="L174">
            <v>3</v>
          </cell>
          <cell r="T174">
            <v>-4</v>
          </cell>
          <cell r="AQ174">
            <v>3</v>
          </cell>
          <cell r="AV174" t="str">
            <v>SPT</v>
          </cell>
          <cell r="AW174" t="str">
            <v>MH</v>
          </cell>
          <cell r="AX174" t="str">
            <v>Soft</v>
          </cell>
          <cell r="AY174">
            <v>3</v>
          </cell>
          <cell r="AZ174" t="str">
            <v>Soft</v>
          </cell>
          <cell r="BA174">
            <v>3</v>
          </cell>
          <cell r="BB174">
            <v>1</v>
          </cell>
          <cell r="BC174" t="str">
            <v>S9Soft</v>
          </cell>
        </row>
        <row r="175">
          <cell r="A175" t="str">
            <v>S9</v>
          </cell>
          <cell r="B175" t="str">
            <v>Pasar Modern Timur, BSD</v>
          </cell>
          <cell r="H175">
            <v>0</v>
          </cell>
          <cell r="K175">
            <v>5</v>
          </cell>
          <cell r="L175">
            <v>4</v>
          </cell>
          <cell r="T175">
            <v>-5</v>
          </cell>
          <cell r="AQ175">
            <v>4</v>
          </cell>
          <cell r="AV175" t="str">
            <v>SPT</v>
          </cell>
          <cell r="AW175" t="str">
            <v>MH</v>
          </cell>
          <cell r="AX175" t="str">
            <v>Medium</v>
          </cell>
          <cell r="AY175">
            <v>5.166666666666667</v>
          </cell>
          <cell r="AZ175" t="str">
            <v>Medium</v>
          </cell>
          <cell r="BA175">
            <v>5</v>
          </cell>
          <cell r="BB175">
            <v>1</v>
          </cell>
          <cell r="BC175" t="str">
            <v>S9Medium</v>
          </cell>
        </row>
        <row r="176">
          <cell r="A176" t="str">
            <v>S9</v>
          </cell>
          <cell r="B176" t="str">
            <v>Pasar Modern Timur, BSD</v>
          </cell>
          <cell r="H176">
            <v>0</v>
          </cell>
          <cell r="K176">
            <v>6</v>
          </cell>
          <cell r="L176">
            <v>3</v>
          </cell>
          <cell r="T176">
            <v>-6</v>
          </cell>
          <cell r="AQ176">
            <v>3</v>
          </cell>
          <cell r="AV176" t="str">
            <v>SPT</v>
          </cell>
          <cell r="AW176" t="str">
            <v>MH</v>
          </cell>
          <cell r="AX176" t="str">
            <v>Soft</v>
          </cell>
          <cell r="AY176">
            <v>3</v>
          </cell>
          <cell r="AZ176" t="str">
            <v>Soft</v>
          </cell>
          <cell r="BA176">
            <v>3</v>
          </cell>
          <cell r="BB176">
            <v>1</v>
          </cell>
          <cell r="BC176" t="str">
            <v>S9Soft</v>
          </cell>
        </row>
        <row r="177">
          <cell r="A177" t="str">
            <v>S9</v>
          </cell>
          <cell r="B177" t="str">
            <v>Pasar Modern Timur, BSD</v>
          </cell>
          <cell r="H177">
            <v>0</v>
          </cell>
          <cell r="K177">
            <v>7</v>
          </cell>
          <cell r="L177">
            <v>4</v>
          </cell>
          <cell r="T177">
            <v>-7</v>
          </cell>
          <cell r="AQ177">
            <v>4</v>
          </cell>
          <cell r="AV177" t="str">
            <v>SPT</v>
          </cell>
          <cell r="AW177" t="str">
            <v>MH</v>
          </cell>
          <cell r="AX177" t="str">
            <v>Medium</v>
          </cell>
          <cell r="AY177">
            <v>5.166666666666667</v>
          </cell>
          <cell r="AZ177" t="str">
            <v>Medium</v>
          </cell>
          <cell r="BA177">
            <v>5</v>
          </cell>
          <cell r="BB177">
            <v>1</v>
          </cell>
          <cell r="BC177" t="str">
            <v>S9Medium</v>
          </cell>
        </row>
        <row r="178">
          <cell r="A178" t="str">
            <v>S9</v>
          </cell>
          <cell r="B178" t="str">
            <v>Pasar Modern Timur, BSD</v>
          </cell>
          <cell r="H178">
            <v>0</v>
          </cell>
          <cell r="K178">
            <v>8</v>
          </cell>
          <cell r="L178">
            <v>6</v>
          </cell>
          <cell r="T178">
            <v>-8</v>
          </cell>
          <cell r="AQ178">
            <v>6</v>
          </cell>
          <cell r="AV178" t="str">
            <v>SPT</v>
          </cell>
          <cell r="AW178" t="str">
            <v>MH</v>
          </cell>
          <cell r="AX178" t="str">
            <v>Medium</v>
          </cell>
          <cell r="AY178">
            <v>5.166666666666667</v>
          </cell>
          <cell r="AZ178" t="str">
            <v>Medium</v>
          </cell>
          <cell r="BA178">
            <v>5</v>
          </cell>
          <cell r="BB178">
            <v>1</v>
          </cell>
          <cell r="BC178" t="str">
            <v>S9Medium</v>
          </cell>
        </row>
        <row r="179">
          <cell r="A179" t="str">
            <v>S9</v>
          </cell>
          <cell r="B179" t="str">
            <v>Pasar Modern Timur, BSD</v>
          </cell>
          <cell r="H179">
            <v>0</v>
          </cell>
          <cell r="K179">
            <v>9</v>
          </cell>
          <cell r="L179">
            <v>10</v>
          </cell>
          <cell r="T179">
            <v>-9</v>
          </cell>
          <cell r="AQ179">
            <v>10</v>
          </cell>
          <cell r="AV179" t="str">
            <v>SPT</v>
          </cell>
          <cell r="AW179" t="str">
            <v>MH</v>
          </cell>
          <cell r="AX179" t="str">
            <v>Stiff</v>
          </cell>
          <cell r="AY179">
            <v>10</v>
          </cell>
          <cell r="AZ179" t="str">
            <v>Stiff</v>
          </cell>
          <cell r="BA179">
            <v>10</v>
          </cell>
          <cell r="BB179">
            <v>1</v>
          </cell>
          <cell r="BC179" t="str">
            <v>S9Stiff</v>
          </cell>
        </row>
        <row r="180">
          <cell r="A180" t="str">
            <v>S9</v>
          </cell>
          <cell r="B180" t="str">
            <v>Pasar Modern Timur, BSD</v>
          </cell>
          <cell r="H180">
            <v>0</v>
          </cell>
          <cell r="K180">
            <v>10</v>
          </cell>
          <cell r="L180">
            <v>18</v>
          </cell>
          <cell r="T180">
            <v>-10</v>
          </cell>
          <cell r="AQ180">
            <v>18</v>
          </cell>
          <cell r="AV180" t="str">
            <v>SPT</v>
          </cell>
          <cell r="AW180" t="str">
            <v>MH</v>
          </cell>
          <cell r="AX180" t="str">
            <v>Very Stiff 1</v>
          </cell>
          <cell r="AY180">
            <v>18</v>
          </cell>
          <cell r="AZ180" t="str">
            <v>Very Stiff 1</v>
          </cell>
          <cell r="BA180">
            <v>18</v>
          </cell>
          <cell r="BB180">
            <v>1</v>
          </cell>
          <cell r="BC180" t="str">
            <v>S9Very Stiff 1</v>
          </cell>
        </row>
        <row r="181">
          <cell r="A181" t="str">
            <v>S9</v>
          </cell>
          <cell r="B181" t="str">
            <v>Pasar Modern Timur, BSD</v>
          </cell>
          <cell r="H181">
            <v>0</v>
          </cell>
          <cell r="K181">
            <v>11</v>
          </cell>
          <cell r="L181">
            <v>25</v>
          </cell>
          <cell r="T181">
            <v>-11</v>
          </cell>
          <cell r="AQ181">
            <v>25</v>
          </cell>
          <cell r="AV181" t="str">
            <v>SPT</v>
          </cell>
          <cell r="AW181" t="str">
            <v>SM</v>
          </cell>
          <cell r="AX181" t="str">
            <v>Medium Dense 2</v>
          </cell>
          <cell r="AY181">
            <v>25</v>
          </cell>
          <cell r="AZ181" t="str">
            <v>Medium Dense 2</v>
          </cell>
          <cell r="BA181">
            <v>25</v>
          </cell>
          <cell r="BB181">
            <v>1</v>
          </cell>
          <cell r="BC181" t="str">
            <v>S9Medium Dense 2</v>
          </cell>
        </row>
        <row r="182">
          <cell r="A182" t="str">
            <v>S9</v>
          </cell>
          <cell r="B182" t="str">
            <v>Pasar Modern Timur, BSD</v>
          </cell>
          <cell r="H182">
            <v>0</v>
          </cell>
          <cell r="K182">
            <v>12</v>
          </cell>
          <cell r="L182">
            <v>47</v>
          </cell>
          <cell r="T182">
            <v>-12</v>
          </cell>
          <cell r="AQ182">
            <v>47</v>
          </cell>
          <cell r="AV182" t="str">
            <v>SPT</v>
          </cell>
          <cell r="AW182" t="str">
            <v>SM</v>
          </cell>
          <cell r="AX182" t="str">
            <v>Dense 2</v>
          </cell>
          <cell r="AY182">
            <v>47</v>
          </cell>
          <cell r="AZ182" t="str">
            <v>Dense 2</v>
          </cell>
          <cell r="BA182">
            <v>47</v>
          </cell>
          <cell r="BB182">
            <v>1</v>
          </cell>
          <cell r="BC182" t="str">
            <v>S9Dense 2</v>
          </cell>
        </row>
        <row r="183">
          <cell r="A183" t="str">
            <v>S10</v>
          </cell>
          <cell r="B183" t="str">
            <v>Pasar Modern Timur, BSD</v>
          </cell>
          <cell r="H183">
            <v>0</v>
          </cell>
          <cell r="K183">
            <v>0</v>
          </cell>
          <cell r="L183">
            <v>0</v>
          </cell>
          <cell r="M183">
            <v>0</v>
          </cell>
          <cell r="N183" t="str">
            <v>MH</v>
          </cell>
          <cell r="O183" t="str">
            <v>lanau lempung</v>
          </cell>
          <cell r="T183">
            <v>0</v>
          </cell>
          <cell r="AQ183">
            <v>0</v>
          </cell>
          <cell r="AU183">
            <v>177</v>
          </cell>
          <cell r="AV183" t="str">
            <v>SPT</v>
          </cell>
          <cell r="AW183" t="str">
            <v>MH</v>
          </cell>
          <cell r="AX183" t="str">
            <v>Very Soft</v>
          </cell>
          <cell r="AY183">
            <v>1</v>
          </cell>
          <cell r="AZ183" t="str">
            <v>undefined</v>
          </cell>
          <cell r="BA183" t="e">
            <v>#DIV/0!</v>
          </cell>
          <cell r="BB183">
            <v>0</v>
          </cell>
          <cell r="BC183" t="str">
            <v>S10undefined</v>
          </cell>
        </row>
        <row r="184">
          <cell r="A184" t="str">
            <v>S10</v>
          </cell>
          <cell r="B184" t="str">
            <v>Pasar Modern Timur, BSD</v>
          </cell>
          <cell r="H184">
            <v>0</v>
          </cell>
          <cell r="K184">
            <v>1</v>
          </cell>
          <cell r="L184">
            <v>1</v>
          </cell>
          <cell r="M184">
            <v>11</v>
          </cell>
          <cell r="N184" t="str">
            <v>MH</v>
          </cell>
          <cell r="O184" t="str">
            <v>lanau lempung</v>
          </cell>
          <cell r="T184">
            <v>-1</v>
          </cell>
          <cell r="AQ184">
            <v>1</v>
          </cell>
          <cell r="AU184">
            <v>193</v>
          </cell>
          <cell r="AV184" t="str">
            <v>SPT</v>
          </cell>
          <cell r="AW184" t="str">
            <v>MH</v>
          </cell>
          <cell r="AX184" t="str">
            <v>Very Soft</v>
          </cell>
          <cell r="AY184">
            <v>1</v>
          </cell>
          <cell r="AZ184" t="str">
            <v>Very Soft</v>
          </cell>
          <cell r="BA184">
            <v>1</v>
          </cell>
          <cell r="BB184">
            <v>1</v>
          </cell>
          <cell r="BC184" t="str">
            <v>S10Very Soft</v>
          </cell>
        </row>
        <row r="185">
          <cell r="A185" t="str">
            <v>S10</v>
          </cell>
          <cell r="B185" t="str">
            <v>Pasar Modern Timur, BSD</v>
          </cell>
          <cell r="H185">
            <v>0</v>
          </cell>
          <cell r="K185">
            <v>2</v>
          </cell>
          <cell r="L185">
            <v>14</v>
          </cell>
          <cell r="M185">
            <v>15.6</v>
          </cell>
          <cell r="N185" t="str">
            <v>SM</v>
          </cell>
          <cell r="O185" t="str">
            <v>pasir lanau</v>
          </cell>
          <cell r="T185">
            <v>-2</v>
          </cell>
          <cell r="AQ185">
            <v>14</v>
          </cell>
          <cell r="AV185" t="str">
            <v>SPT</v>
          </cell>
          <cell r="AW185" t="str">
            <v>MH</v>
          </cell>
          <cell r="AX185" t="str">
            <v>Stiff</v>
          </cell>
          <cell r="AY185">
            <v>9.8333333333333339</v>
          </cell>
          <cell r="AZ185" t="str">
            <v>Stiff</v>
          </cell>
          <cell r="BA185">
            <v>9</v>
          </cell>
          <cell r="BB185">
            <v>1</v>
          </cell>
          <cell r="BC185" t="str">
            <v>S10Stiff</v>
          </cell>
        </row>
        <row r="186">
          <cell r="A186" t="str">
            <v>S10</v>
          </cell>
          <cell r="B186" t="str">
            <v>Pasar Modern Timur, BSD</v>
          </cell>
          <cell r="H186">
            <v>0</v>
          </cell>
          <cell r="K186">
            <v>3</v>
          </cell>
          <cell r="L186">
            <v>9</v>
          </cell>
          <cell r="T186">
            <v>-3</v>
          </cell>
          <cell r="AQ186">
            <v>9</v>
          </cell>
          <cell r="AV186" t="str">
            <v>SPT</v>
          </cell>
          <cell r="AW186" t="str">
            <v>MH</v>
          </cell>
          <cell r="AX186" t="str">
            <v>Stiff</v>
          </cell>
          <cell r="AY186">
            <v>9.8333333333333339</v>
          </cell>
          <cell r="AZ186" t="str">
            <v>Stiff</v>
          </cell>
          <cell r="BA186">
            <v>9</v>
          </cell>
          <cell r="BB186">
            <v>1</v>
          </cell>
          <cell r="BC186" t="str">
            <v>S10Stiff</v>
          </cell>
        </row>
        <row r="187">
          <cell r="A187" t="str">
            <v>S10</v>
          </cell>
          <cell r="B187" t="str">
            <v>Pasar Modern Timur, BSD</v>
          </cell>
          <cell r="H187">
            <v>0</v>
          </cell>
          <cell r="K187">
            <v>4</v>
          </cell>
          <cell r="L187">
            <v>8</v>
          </cell>
          <cell r="T187">
            <v>-4</v>
          </cell>
          <cell r="AQ187">
            <v>8</v>
          </cell>
          <cell r="AV187" t="str">
            <v>SPT</v>
          </cell>
          <cell r="AW187" t="str">
            <v>MH</v>
          </cell>
          <cell r="AX187" t="str">
            <v>Stiff</v>
          </cell>
          <cell r="AY187">
            <v>9.8333333333333339</v>
          </cell>
          <cell r="AZ187" t="str">
            <v>Stiff</v>
          </cell>
          <cell r="BA187">
            <v>9</v>
          </cell>
          <cell r="BB187">
            <v>1</v>
          </cell>
          <cell r="BC187" t="str">
            <v>S10Stiff</v>
          </cell>
        </row>
        <row r="188">
          <cell r="A188" t="str">
            <v>S10</v>
          </cell>
          <cell r="B188" t="str">
            <v>Pasar Modern Timur, BSD</v>
          </cell>
          <cell r="H188">
            <v>0</v>
          </cell>
          <cell r="K188">
            <v>5</v>
          </cell>
          <cell r="L188">
            <v>6</v>
          </cell>
          <cell r="T188">
            <v>-5</v>
          </cell>
          <cell r="AQ188">
            <v>6</v>
          </cell>
          <cell r="AV188" t="str">
            <v>SPT</v>
          </cell>
          <cell r="AW188" t="str">
            <v>MH</v>
          </cell>
          <cell r="AX188" t="str">
            <v>Medium</v>
          </cell>
          <cell r="AY188">
            <v>6.5</v>
          </cell>
          <cell r="AZ188" t="str">
            <v>Medium</v>
          </cell>
          <cell r="BA188">
            <v>6</v>
          </cell>
          <cell r="BB188">
            <v>1</v>
          </cell>
          <cell r="BC188" t="str">
            <v>S10Medium</v>
          </cell>
        </row>
        <row r="189">
          <cell r="A189" t="str">
            <v>S10</v>
          </cell>
          <cell r="B189" t="str">
            <v>Pasar Modern Timur, BSD</v>
          </cell>
          <cell r="H189">
            <v>0</v>
          </cell>
          <cell r="K189">
            <v>6</v>
          </cell>
          <cell r="L189">
            <v>8</v>
          </cell>
          <cell r="T189">
            <v>-6</v>
          </cell>
          <cell r="AQ189">
            <v>8</v>
          </cell>
          <cell r="AV189" t="str">
            <v>SPT</v>
          </cell>
          <cell r="AW189" t="str">
            <v>MH</v>
          </cell>
          <cell r="AX189" t="str">
            <v>Stiff</v>
          </cell>
          <cell r="AY189">
            <v>9.8333333333333339</v>
          </cell>
          <cell r="AZ189" t="str">
            <v>Stiff</v>
          </cell>
          <cell r="BA189">
            <v>9</v>
          </cell>
          <cell r="BB189">
            <v>1</v>
          </cell>
          <cell r="BC189" t="str">
            <v>S10Stiff</v>
          </cell>
        </row>
        <row r="190">
          <cell r="A190" t="str">
            <v>S10</v>
          </cell>
          <cell r="B190" t="str">
            <v>Pasar Modern Timur, BSD</v>
          </cell>
          <cell r="H190">
            <v>0</v>
          </cell>
          <cell r="K190">
            <v>7</v>
          </cell>
          <cell r="L190">
            <v>3</v>
          </cell>
          <cell r="T190">
            <v>-7</v>
          </cell>
          <cell r="AQ190">
            <v>3</v>
          </cell>
          <cell r="AV190" t="str">
            <v>SPT</v>
          </cell>
          <cell r="AW190" t="str">
            <v>MH</v>
          </cell>
          <cell r="AX190" t="str">
            <v>Soft</v>
          </cell>
          <cell r="AY190">
            <v>3</v>
          </cell>
          <cell r="AZ190" t="str">
            <v>Soft</v>
          </cell>
          <cell r="BA190">
            <v>3</v>
          </cell>
          <cell r="BB190">
            <v>1</v>
          </cell>
          <cell r="BC190" t="str">
            <v>S10Soft</v>
          </cell>
        </row>
        <row r="191">
          <cell r="A191" t="str">
            <v>S10</v>
          </cell>
          <cell r="B191" t="str">
            <v>Pasar Modern Timur, BSD</v>
          </cell>
          <cell r="H191">
            <v>0</v>
          </cell>
          <cell r="K191">
            <v>8</v>
          </cell>
          <cell r="L191">
            <v>7</v>
          </cell>
          <cell r="T191">
            <v>-8</v>
          </cell>
          <cell r="AQ191">
            <v>7</v>
          </cell>
          <cell r="AV191" t="str">
            <v>SPT</v>
          </cell>
          <cell r="AW191" t="str">
            <v>MH</v>
          </cell>
          <cell r="AX191" t="str">
            <v>Medium</v>
          </cell>
          <cell r="AY191">
            <v>6.5</v>
          </cell>
          <cell r="AZ191" t="str">
            <v>Medium</v>
          </cell>
          <cell r="BA191">
            <v>6</v>
          </cell>
          <cell r="BB191">
            <v>1</v>
          </cell>
          <cell r="BC191" t="str">
            <v>S10Medium</v>
          </cell>
        </row>
        <row r="192">
          <cell r="A192" t="str">
            <v>S10</v>
          </cell>
          <cell r="B192" t="str">
            <v>Pasar Modern Timur, BSD</v>
          </cell>
          <cell r="H192">
            <v>0</v>
          </cell>
          <cell r="K192">
            <v>9</v>
          </cell>
          <cell r="L192">
            <v>8</v>
          </cell>
          <cell r="T192">
            <v>-9</v>
          </cell>
          <cell r="AQ192">
            <v>8</v>
          </cell>
          <cell r="AV192" t="str">
            <v>SPT</v>
          </cell>
          <cell r="AW192" t="str">
            <v>MH</v>
          </cell>
          <cell r="AX192" t="str">
            <v>Stiff</v>
          </cell>
          <cell r="AY192">
            <v>9.8333333333333339</v>
          </cell>
          <cell r="AZ192" t="str">
            <v>Stiff</v>
          </cell>
          <cell r="BA192">
            <v>9</v>
          </cell>
          <cell r="BB192">
            <v>1</v>
          </cell>
          <cell r="BC192" t="str">
            <v>S10Stiff</v>
          </cell>
        </row>
        <row r="193">
          <cell r="A193" t="str">
            <v>S10</v>
          </cell>
          <cell r="B193" t="str">
            <v>Pasar Modern Timur, BSD</v>
          </cell>
          <cell r="H193">
            <v>0</v>
          </cell>
          <cell r="K193">
            <v>10</v>
          </cell>
          <cell r="L193">
            <v>12</v>
          </cell>
          <cell r="T193">
            <v>-10</v>
          </cell>
          <cell r="AQ193">
            <v>12</v>
          </cell>
          <cell r="AV193" t="str">
            <v>SPT</v>
          </cell>
          <cell r="AW193" t="str">
            <v>MH</v>
          </cell>
          <cell r="AX193" t="str">
            <v>Stiff</v>
          </cell>
          <cell r="AY193">
            <v>9.8333333333333339</v>
          </cell>
          <cell r="AZ193" t="str">
            <v>Stiff</v>
          </cell>
          <cell r="BA193">
            <v>9</v>
          </cell>
          <cell r="BB193">
            <v>1</v>
          </cell>
          <cell r="BC193" t="str">
            <v>S10Stiff</v>
          </cell>
        </row>
        <row r="194">
          <cell r="A194" t="str">
            <v>S10</v>
          </cell>
          <cell r="B194" t="str">
            <v>Pasar Modern Timur, BSD</v>
          </cell>
          <cell r="H194">
            <v>0</v>
          </cell>
          <cell r="K194">
            <v>11</v>
          </cell>
          <cell r="L194">
            <v>16</v>
          </cell>
          <cell r="T194">
            <v>-11</v>
          </cell>
          <cell r="AQ194">
            <v>16</v>
          </cell>
          <cell r="AV194" t="str">
            <v>SPT</v>
          </cell>
          <cell r="AW194" t="str">
            <v>SM</v>
          </cell>
          <cell r="AX194" t="str">
            <v>Medium Dense 1</v>
          </cell>
          <cell r="AY194">
            <v>13.6</v>
          </cell>
          <cell r="AZ194" t="str">
            <v>Medium Dense 1</v>
          </cell>
          <cell r="BA194">
            <v>13</v>
          </cell>
          <cell r="BB194">
            <v>1</v>
          </cell>
          <cell r="BC194" t="str">
            <v>S10Medium Dense 1</v>
          </cell>
        </row>
        <row r="195">
          <cell r="A195" t="str">
            <v>S10</v>
          </cell>
          <cell r="B195" t="str">
            <v>Pasar Modern Timur, BSD</v>
          </cell>
          <cell r="H195">
            <v>0</v>
          </cell>
          <cell r="K195">
            <v>12</v>
          </cell>
          <cell r="L195">
            <v>16</v>
          </cell>
          <cell r="T195">
            <v>-12</v>
          </cell>
          <cell r="AQ195">
            <v>16</v>
          </cell>
          <cell r="AV195" t="str">
            <v>SPT</v>
          </cell>
          <cell r="AW195" t="str">
            <v>SM</v>
          </cell>
          <cell r="AX195" t="str">
            <v>Medium Dense 1</v>
          </cell>
          <cell r="AY195">
            <v>13.6</v>
          </cell>
          <cell r="AZ195" t="str">
            <v>Medium Dense 1</v>
          </cell>
          <cell r="BA195">
            <v>13</v>
          </cell>
          <cell r="BB195">
            <v>1</v>
          </cell>
          <cell r="BC195" t="str">
            <v>S10Medium Dense 1</v>
          </cell>
        </row>
        <row r="196">
          <cell r="A196" t="str">
            <v>S10</v>
          </cell>
          <cell r="B196" t="str">
            <v>Pasar Modern Timur, BSD</v>
          </cell>
          <cell r="H196">
            <v>0</v>
          </cell>
          <cell r="K196">
            <v>13</v>
          </cell>
          <cell r="L196">
            <v>15</v>
          </cell>
          <cell r="T196">
            <v>-13</v>
          </cell>
          <cell r="AQ196">
            <v>15</v>
          </cell>
          <cell r="AV196" t="str">
            <v>SPT</v>
          </cell>
          <cell r="AW196" t="str">
            <v>SM</v>
          </cell>
          <cell r="AX196" t="str">
            <v>Medium Dense 1</v>
          </cell>
          <cell r="AY196">
            <v>13.6</v>
          </cell>
          <cell r="AZ196" t="str">
            <v>Medium Dense 1</v>
          </cell>
          <cell r="BA196">
            <v>13</v>
          </cell>
          <cell r="BB196">
            <v>1</v>
          </cell>
          <cell r="BC196" t="str">
            <v>S10Medium Dense 1</v>
          </cell>
        </row>
        <row r="197">
          <cell r="A197" t="str">
            <v>S10</v>
          </cell>
          <cell r="B197" t="str">
            <v>Pasar Modern Timur, BSD</v>
          </cell>
          <cell r="H197">
            <v>0</v>
          </cell>
          <cell r="K197">
            <v>14</v>
          </cell>
          <cell r="L197">
            <v>11</v>
          </cell>
          <cell r="T197">
            <v>-14</v>
          </cell>
          <cell r="AQ197">
            <v>11</v>
          </cell>
          <cell r="AV197" t="str">
            <v>SPT</v>
          </cell>
          <cell r="AW197" t="str">
            <v>SM</v>
          </cell>
          <cell r="AX197" t="str">
            <v>Medium Dense 1</v>
          </cell>
          <cell r="AY197">
            <v>13.6</v>
          </cell>
          <cell r="AZ197" t="str">
            <v>Medium Dense 1</v>
          </cell>
          <cell r="BA197">
            <v>13</v>
          </cell>
          <cell r="BB197">
            <v>1</v>
          </cell>
          <cell r="BC197" t="str">
            <v>S10Medium Dense 1</v>
          </cell>
        </row>
        <row r="198">
          <cell r="A198" t="str">
            <v>S10</v>
          </cell>
          <cell r="B198" t="str">
            <v>Pasar Modern Timur, BSD</v>
          </cell>
          <cell r="H198">
            <v>0</v>
          </cell>
          <cell r="K198">
            <v>15</v>
          </cell>
          <cell r="L198">
            <v>10</v>
          </cell>
          <cell r="T198">
            <v>-15</v>
          </cell>
          <cell r="AQ198">
            <v>10</v>
          </cell>
          <cell r="AV198" t="str">
            <v>SPT</v>
          </cell>
          <cell r="AW198" t="str">
            <v>SM</v>
          </cell>
          <cell r="AX198" t="str">
            <v>Medium Dense 1</v>
          </cell>
          <cell r="AY198">
            <v>13.6</v>
          </cell>
          <cell r="AZ198" t="str">
            <v>Medium Dense 1</v>
          </cell>
          <cell r="BA198">
            <v>13</v>
          </cell>
          <cell r="BB198">
            <v>1</v>
          </cell>
          <cell r="BC198" t="str">
            <v>S10Medium Dense 1</v>
          </cell>
        </row>
        <row r="199">
          <cell r="A199" t="str">
            <v>S10</v>
          </cell>
          <cell r="B199" t="str">
            <v>Pasar Modern Timur, BSD</v>
          </cell>
          <cell r="H199">
            <v>0</v>
          </cell>
          <cell r="K199">
            <v>15.6</v>
          </cell>
          <cell r="L199">
            <v>48</v>
          </cell>
          <cell r="T199">
            <v>-15.6</v>
          </cell>
          <cell r="AQ199">
            <v>48</v>
          </cell>
          <cell r="AV199" t="str">
            <v>SPT</v>
          </cell>
          <cell r="AW199" t="str">
            <v>SM</v>
          </cell>
          <cell r="AX199" t="str">
            <v>Dense 2</v>
          </cell>
          <cell r="AY199">
            <v>48</v>
          </cell>
          <cell r="AZ199" t="str">
            <v>Dense 2</v>
          </cell>
          <cell r="BA199">
            <v>48</v>
          </cell>
          <cell r="BB199">
            <v>0.59999999999999964</v>
          </cell>
          <cell r="BC199" t="str">
            <v>S10Dense 2</v>
          </cell>
        </row>
      </sheetData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Plot"/>
      <sheetName val="BoxPlot2"/>
      <sheetName val="BoxPlot_Shifted"/>
      <sheetName val="Data_Shifted"/>
      <sheetName val="Data"/>
      <sheetName val="© Terms"/>
    </sheetNames>
    <sheetDataSet>
      <sheetData sheetId="0"/>
      <sheetData sheetId="1"/>
      <sheetData sheetId="2"/>
      <sheetData sheetId="3">
        <row r="1">
          <cell r="I1">
            <v>140</v>
          </cell>
        </row>
      </sheetData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erministic analysis"/>
      <sheetName val="sptbc"/>
      <sheetName val="Allowable settlement graph"/>
      <sheetName val="General Analysis"/>
      <sheetName val="pad"/>
      <sheetName val="BEARING Capacity"/>
      <sheetName val="Eccentricity"/>
      <sheetName val="Input"/>
      <sheetName val="Terzaghi"/>
      <sheetName val="Meyerhof"/>
      <sheetName val="Hansen"/>
      <sheetName val="Vesic"/>
      <sheetName val="Homogeneous soil"/>
      <sheetName val="SPT"/>
      <sheetName val="CPT"/>
      <sheetName val="Case IV"/>
    </sheetNames>
    <sheetDataSet>
      <sheetData sheetId="0"/>
      <sheetData sheetId="1"/>
      <sheetData sheetId="2"/>
      <sheetData sheetId="3"/>
      <sheetData sheetId="4">
        <row r="9">
          <cell r="Q9">
            <v>1.2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0000"/>
      </a:accent1>
      <a:accent2>
        <a:srgbClr val="0000FF"/>
      </a:accent2>
      <a:accent3>
        <a:srgbClr val="FF0000"/>
      </a:accent3>
      <a:accent4>
        <a:srgbClr val="00FF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4707B-CD70-41C1-860B-1BA285DDC2EC}">
  <sheetPr>
    <tabColor theme="5" tint="0.79998168889431442"/>
  </sheetPr>
  <dimension ref="A1:F37"/>
  <sheetViews>
    <sheetView tabSelected="1" zoomScale="85" zoomScaleNormal="85" workbookViewId="0">
      <pane xSplit="4" topLeftCell="E1" activePane="topRight" state="frozen"/>
      <selection pane="topRight" activeCell="M11" sqref="M11"/>
    </sheetView>
  </sheetViews>
  <sheetFormatPr defaultRowHeight="15"/>
  <cols>
    <col min="1" max="1" width="12.5703125" bestFit="1" customWidth="1"/>
    <col min="2" max="2" width="8.28515625" style="2" bestFit="1" customWidth="1"/>
    <col min="3" max="3" width="1.140625" customWidth="1"/>
    <col min="4" max="4" width="22" bestFit="1" customWidth="1"/>
    <col min="5" max="5" width="3" customWidth="1"/>
    <col min="6" max="6" width="11.28515625" bestFit="1" customWidth="1"/>
  </cols>
  <sheetData>
    <row r="1" spans="1:6">
      <c r="D1" s="5" t="s">
        <v>12</v>
      </c>
      <c r="E1" s="5">
        <v>0</v>
      </c>
      <c r="F1" s="14">
        <v>5</v>
      </c>
    </row>
    <row r="2" spans="1:6">
      <c r="D2" s="5" t="s">
        <v>44</v>
      </c>
      <c r="E2" s="5"/>
      <c r="F2" s="5">
        <v>17.7</v>
      </c>
    </row>
    <row r="3" spans="1:6">
      <c r="D3" s="5" t="s">
        <v>45</v>
      </c>
      <c r="E3" s="5"/>
      <c r="F3" s="5">
        <v>35</v>
      </c>
    </row>
    <row r="4" spans="1:6">
      <c r="D4" s="5" t="s">
        <v>7</v>
      </c>
      <c r="E4" s="5"/>
      <c r="F4" s="5">
        <v>3.2</v>
      </c>
    </row>
    <row r="5" spans="1:6">
      <c r="B5" s="15"/>
      <c r="D5" s="18" t="s">
        <v>37</v>
      </c>
      <c r="F5">
        <v>0.8</v>
      </c>
    </row>
    <row r="6" spans="1:6">
      <c r="D6" s="19" t="s">
        <v>49</v>
      </c>
      <c r="E6" s="16"/>
      <c r="F6" s="5">
        <v>0.1</v>
      </c>
    </row>
    <row r="7" spans="1:6">
      <c r="B7" s="15"/>
      <c r="D7" s="19" t="s">
        <v>50</v>
      </c>
      <c r="E7" s="16"/>
      <c r="F7" s="5">
        <v>0.16</v>
      </c>
    </row>
    <row r="8" spans="1:6">
      <c r="B8" s="15"/>
      <c r="D8" s="18" t="s">
        <v>46</v>
      </c>
      <c r="E8" s="17"/>
      <c r="F8">
        <v>0.15</v>
      </c>
    </row>
    <row r="9" spans="1:6">
      <c r="B9" s="15"/>
      <c r="D9" s="18" t="s">
        <v>47</v>
      </c>
      <c r="E9" s="17"/>
      <c r="F9" s="5">
        <v>0.2</v>
      </c>
    </row>
    <row r="10" spans="1:6">
      <c r="B10" s="15"/>
      <c r="D10" s="18" t="s">
        <v>48</v>
      </c>
      <c r="E10" s="17"/>
      <c r="F10" s="5">
        <v>0.5</v>
      </c>
    </row>
    <row r="12" spans="1:6">
      <c r="D12" s="13" t="s">
        <v>41</v>
      </c>
      <c r="E12" s="13"/>
      <c r="F12" s="12">
        <f>(F2-2.65*10)/(10-F2)</f>
        <v>1.142857142857143</v>
      </c>
    </row>
    <row r="13" spans="1:6">
      <c r="D13" s="13" t="s">
        <v>9</v>
      </c>
      <c r="E13" s="13"/>
      <c r="F13" s="12">
        <f>F6*(1+F12)</f>
        <v>0.21428571428571433</v>
      </c>
    </row>
    <row r="14" spans="1:6">
      <c r="D14" s="13" t="s">
        <v>42</v>
      </c>
      <c r="E14" s="13"/>
      <c r="F14" s="12">
        <f>F7*F13</f>
        <v>3.4285714285714294E-2</v>
      </c>
    </row>
    <row r="15" spans="1:6">
      <c r="A15" s="7" t="s">
        <v>39</v>
      </c>
    </row>
    <row r="16" spans="1:6">
      <c r="A16" s="5" t="s">
        <v>40</v>
      </c>
      <c r="B16" s="2" t="s">
        <v>43</v>
      </c>
      <c r="F16" s="10" t="str">
        <f>$B$16</f>
        <v>CPT3</v>
      </c>
    </row>
    <row r="17" spans="1:6" ht="6" customHeight="1"/>
    <row r="18" spans="1:6">
      <c r="D18" t="s">
        <v>15</v>
      </c>
      <c r="F18" t="str">
        <f>F16&amp;"-"&amp;ROUND(F1,1)&amp;"m"</f>
        <v>CPT3-5m</v>
      </c>
    </row>
    <row r="19" spans="1:6">
      <c r="D19" t="s">
        <v>16</v>
      </c>
      <c r="F19">
        <v>1</v>
      </c>
    </row>
    <row r="20" spans="1:6">
      <c r="A20" s="6" t="e">
        <v>#N/A</v>
      </c>
      <c r="B20" s="4">
        <v>0</v>
      </c>
      <c r="D20" s="5" t="s">
        <v>17</v>
      </c>
      <c r="E20" s="5"/>
      <c r="F20" s="9">
        <f>$B$20</f>
        <v>0</v>
      </c>
    </row>
    <row r="21" spans="1:6">
      <c r="A21" s="6" t="e">
        <v>#N/A</v>
      </c>
      <c r="B21" s="4">
        <v>0</v>
      </c>
      <c r="D21" s="5" t="s">
        <v>18</v>
      </c>
      <c r="E21" s="5"/>
      <c r="F21" s="9">
        <f>$B$21</f>
        <v>0</v>
      </c>
    </row>
    <row r="22" spans="1:6">
      <c r="A22" s="6" t="s">
        <v>10</v>
      </c>
      <c r="D22" t="s">
        <v>19</v>
      </c>
      <c r="F22">
        <f>ROUND(F23*F7,4)</f>
        <v>6.8999999999999999E-3</v>
      </c>
    </row>
    <row r="23" spans="1:6">
      <c r="A23" s="6" t="s">
        <v>11</v>
      </c>
      <c r="D23" t="s">
        <v>20</v>
      </c>
      <c r="F23">
        <f>ROUND(F6/2.303,4)</f>
        <v>4.3400000000000001E-2</v>
      </c>
    </row>
    <row r="24" spans="1:6">
      <c r="A24" s="6" t="s">
        <v>1</v>
      </c>
      <c r="B24" s="2">
        <v>1.5</v>
      </c>
      <c r="D24" s="7" t="s">
        <v>21</v>
      </c>
      <c r="E24" s="7"/>
      <c r="F24" s="10">
        <f>$B$24</f>
        <v>1.5</v>
      </c>
    </row>
    <row r="25" spans="1:6">
      <c r="A25" s="6" t="s">
        <v>0</v>
      </c>
      <c r="B25" s="2">
        <v>2</v>
      </c>
      <c r="D25" s="7" t="s">
        <v>22</v>
      </c>
      <c r="E25" s="7"/>
      <c r="F25" s="10">
        <f>$B$25</f>
        <v>2</v>
      </c>
    </row>
    <row r="26" spans="1:6">
      <c r="A26" s="6" t="e">
        <v>#N/A</v>
      </c>
      <c r="B26" s="2">
        <v>2</v>
      </c>
      <c r="D26" s="5" t="s">
        <v>23</v>
      </c>
      <c r="E26" s="5"/>
      <c r="F26" s="10">
        <f>$B$26</f>
        <v>2</v>
      </c>
    </row>
    <row r="27" spans="1:6">
      <c r="A27" s="6" t="s">
        <v>2</v>
      </c>
      <c r="D27" t="s">
        <v>24</v>
      </c>
      <c r="F27">
        <f>ROUND(((1 - 2*F28) / (2 * (1 + F28))) * ((ABS(F34) + 2*ABS(F35)) / F22),0)</f>
        <v>4520</v>
      </c>
    </row>
    <row r="28" spans="1:6">
      <c r="A28" s="6" t="s">
        <v>14</v>
      </c>
      <c r="D28" s="5" t="s">
        <v>25</v>
      </c>
      <c r="E28" s="5"/>
      <c r="F28" s="10">
        <f>F8</f>
        <v>0.15</v>
      </c>
    </row>
    <row r="29" spans="1:6">
      <c r="A29" s="6" t="s">
        <v>36</v>
      </c>
      <c r="D29" t="s">
        <v>26</v>
      </c>
      <c r="F29" s="3">
        <f>ROUND(6*SIN(RADIANS(F3))/(3-(SIN(RADIANS(F3)))),4)</f>
        <v>1.4182999999999999</v>
      </c>
    </row>
    <row r="30" spans="1:6">
      <c r="A30" s="6" t="s">
        <v>8</v>
      </c>
      <c r="D30" t="s">
        <v>27</v>
      </c>
      <c r="F30">
        <f>F3</f>
        <v>35</v>
      </c>
    </row>
    <row r="31" spans="1:6" ht="18.75">
      <c r="A31" s="1" t="s">
        <v>6</v>
      </c>
      <c r="D31" t="s">
        <v>28</v>
      </c>
      <c r="F31" s="9">
        <f>-(ROUNDUP((F34*F4*(3-2*SIN(RADIANS(F30)))/3)*F25^(((3-SIN(RADIANS(F30)))/(2*(3-2*SIN(RADIANS(F30)))))^F24),0))+2</f>
        <v>112</v>
      </c>
    </row>
    <row r="32" spans="1:6" ht="18.75">
      <c r="A32" s="1" t="s">
        <v>3</v>
      </c>
      <c r="B32" s="11">
        <v>9.9999999999999994E-12</v>
      </c>
      <c r="D32" s="7" t="s">
        <v>29</v>
      </c>
      <c r="E32" s="7"/>
      <c r="F32" s="8">
        <f>$B$32</f>
        <v>9.9999999999999994E-12</v>
      </c>
    </row>
    <row r="33" spans="1:6" ht="18.75">
      <c r="A33" s="1" t="s">
        <v>4</v>
      </c>
      <c r="D33" t="s">
        <v>30</v>
      </c>
      <c r="F33" s="9">
        <f>ROUND(F12/(1+F12),2)</f>
        <v>0.53</v>
      </c>
    </row>
    <row r="34" spans="1:6">
      <c r="A34" s="6" t="s">
        <v>35</v>
      </c>
      <c r="D34" t="s">
        <v>31</v>
      </c>
      <c r="F34" s="9">
        <f>-ROUND(
((F2-10)*(F1-E1)+(ABS(E34))),2)</f>
        <v>-38.5</v>
      </c>
    </row>
    <row r="35" spans="1:6" ht="18">
      <c r="A35" s="6" t="s">
        <v>38</v>
      </c>
      <c r="D35" t="s">
        <v>32</v>
      </c>
      <c r="F35" s="9">
        <f>ROUND(F34*(1-SIN(RADIANS(F3)))*F4^(SIN(RADIANS(F3))),2)</f>
        <v>-31.99</v>
      </c>
    </row>
    <row r="36" spans="1:6">
      <c r="A36" s="6" t="s">
        <v>34</v>
      </c>
      <c r="D36" t="s">
        <v>33</v>
      </c>
      <c r="F36" s="9">
        <f>-ROUND(10*F1,2)</f>
        <v>-50</v>
      </c>
    </row>
    <row r="37" spans="1:6">
      <c r="A37" s="6" t="s">
        <v>13</v>
      </c>
      <c r="D37" t="s">
        <v>5</v>
      </c>
      <c r="F37">
        <f>ROUND(DEGREES(ATAN(F5*TAN(RADIANS(F3)))),2)</f>
        <v>29.26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input_CPT3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Felic, Haris</cp:lastModifiedBy>
  <dcterms:created xsi:type="dcterms:W3CDTF">2023-12-15T11:47:03Z</dcterms:created>
  <dcterms:modified xsi:type="dcterms:W3CDTF">2026-05-27T11:00:41Z</dcterms:modified>
</cp:coreProperties>
</file>